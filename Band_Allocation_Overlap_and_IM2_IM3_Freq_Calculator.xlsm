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65" yWindow="810" windowWidth="9675" windowHeight="4200"/>
  </bookViews>
  <sheets>
    <sheet name="Calculation" sheetId="1" r:id="rId1"/>
    <sheet name="Band_Table" sheetId="9" r:id="rId2"/>
    <sheet name="Band_Table_LTE_and_CDMA" sheetId="13" r:id="rId3"/>
  </sheets>
  <calcPr calcId="145621"/>
</workbook>
</file>

<file path=xl/calcChain.xml><?xml version="1.0" encoding="utf-8"?>
<calcChain xmlns="http://schemas.openxmlformats.org/spreadsheetml/2006/main">
  <c r="K61" i="13" l="1"/>
  <c r="J61" i="13"/>
  <c r="I61" i="13"/>
  <c r="H61" i="13"/>
  <c r="K60" i="13"/>
  <c r="J60" i="13"/>
  <c r="I60" i="13"/>
  <c r="H60" i="13"/>
  <c r="K59" i="13"/>
  <c r="J59" i="13"/>
  <c r="I59" i="13"/>
  <c r="H59" i="13"/>
  <c r="K58" i="13"/>
  <c r="J58" i="13"/>
  <c r="I58" i="13"/>
  <c r="H58" i="13"/>
  <c r="K57" i="13"/>
  <c r="J57" i="13"/>
  <c r="I57" i="13"/>
  <c r="H57" i="13"/>
  <c r="K56" i="13"/>
  <c r="J56" i="13"/>
  <c r="I56" i="13"/>
  <c r="H56" i="13"/>
  <c r="K55" i="13"/>
  <c r="J55" i="13"/>
  <c r="I55" i="13"/>
  <c r="H55" i="13"/>
  <c r="K54" i="13"/>
  <c r="J54" i="13"/>
  <c r="I54" i="13"/>
  <c r="H54" i="13"/>
  <c r="K53" i="13"/>
  <c r="J53" i="13"/>
  <c r="I53" i="13"/>
  <c r="H53" i="13"/>
  <c r="K52" i="13"/>
  <c r="J52" i="13"/>
  <c r="I52" i="13"/>
  <c r="H52" i="13"/>
  <c r="K51" i="13"/>
  <c r="J51" i="13"/>
  <c r="I51" i="13"/>
  <c r="H51" i="13"/>
  <c r="K47" i="13"/>
  <c r="J47" i="13"/>
  <c r="I47" i="13"/>
  <c r="H47" i="13"/>
  <c r="K45" i="13"/>
  <c r="J45" i="13"/>
  <c r="I45" i="13"/>
  <c r="H45" i="13"/>
  <c r="K43" i="13"/>
  <c r="J43" i="13"/>
  <c r="I43" i="13"/>
  <c r="H43" i="13"/>
  <c r="K42" i="13"/>
  <c r="J42" i="13"/>
  <c r="I42" i="13"/>
  <c r="H42" i="13"/>
  <c r="K41" i="13"/>
  <c r="J41" i="13"/>
  <c r="I41" i="13"/>
  <c r="H41" i="13"/>
  <c r="K40" i="13"/>
  <c r="J40" i="13"/>
  <c r="I40" i="13"/>
  <c r="H40" i="13"/>
  <c r="K38" i="13"/>
  <c r="J38" i="13"/>
  <c r="I38" i="13"/>
  <c r="H38" i="13"/>
  <c r="K37" i="13"/>
  <c r="J37" i="13"/>
  <c r="I37" i="13"/>
  <c r="H37" i="13"/>
  <c r="K36" i="13"/>
  <c r="J36" i="13"/>
  <c r="I36" i="13"/>
  <c r="H36" i="13"/>
  <c r="K35" i="13"/>
  <c r="J35" i="13"/>
  <c r="I35" i="13"/>
  <c r="H35" i="13"/>
  <c r="K34" i="13"/>
  <c r="J34" i="13"/>
  <c r="I34" i="13"/>
  <c r="H34" i="13"/>
  <c r="K33" i="13"/>
  <c r="J33" i="13"/>
  <c r="I33" i="13"/>
  <c r="H33" i="13"/>
  <c r="K32" i="13"/>
  <c r="J32" i="13"/>
  <c r="I32" i="13"/>
  <c r="H32" i="13"/>
  <c r="K31" i="13"/>
  <c r="J31" i="13"/>
  <c r="I31" i="13"/>
  <c r="H31" i="13"/>
  <c r="K30" i="13"/>
  <c r="J30" i="13"/>
  <c r="I30" i="13"/>
  <c r="H30" i="13"/>
  <c r="K29" i="13"/>
  <c r="J29" i="13"/>
  <c r="I29" i="13"/>
  <c r="H29" i="13"/>
  <c r="K28" i="13"/>
  <c r="J28" i="13"/>
  <c r="I28" i="13"/>
  <c r="H28" i="13"/>
  <c r="K27" i="13"/>
  <c r="J27" i="13"/>
  <c r="I27" i="13"/>
  <c r="H27" i="13"/>
  <c r="K24" i="13"/>
  <c r="J24" i="13"/>
  <c r="I24" i="13"/>
  <c r="H24" i="13"/>
  <c r="K23" i="13"/>
  <c r="J23" i="13"/>
  <c r="I23" i="13"/>
  <c r="H23" i="13"/>
  <c r="K22" i="13"/>
  <c r="J22" i="13"/>
  <c r="I22" i="13"/>
  <c r="H22" i="13"/>
  <c r="K21" i="13"/>
  <c r="J21" i="13"/>
  <c r="I21" i="13"/>
  <c r="H21" i="13"/>
  <c r="K20" i="13"/>
  <c r="J20" i="13"/>
  <c r="I20" i="13"/>
  <c r="H20" i="13"/>
  <c r="K19" i="13"/>
  <c r="J19" i="13"/>
  <c r="I19" i="13"/>
  <c r="H19" i="13"/>
  <c r="K18" i="13"/>
  <c r="J18" i="13"/>
  <c r="I18" i="13"/>
  <c r="H18" i="13"/>
  <c r="K17" i="13"/>
  <c r="J17" i="13"/>
  <c r="I17" i="13"/>
  <c r="H17" i="13"/>
  <c r="K16" i="13"/>
  <c r="J16" i="13"/>
  <c r="I16" i="13"/>
  <c r="H16" i="13"/>
  <c r="K15" i="13"/>
  <c r="J15" i="13"/>
  <c r="I15" i="13"/>
  <c r="H15" i="13"/>
  <c r="K14" i="13"/>
  <c r="J14" i="13"/>
  <c r="I14" i="13"/>
  <c r="H14" i="13"/>
  <c r="K13" i="13"/>
  <c r="J13" i="13"/>
  <c r="I13" i="13"/>
  <c r="H13" i="13"/>
  <c r="K12" i="13"/>
  <c r="J12" i="13"/>
  <c r="I12" i="13"/>
  <c r="H12" i="13"/>
  <c r="K11" i="13"/>
  <c r="J11" i="13"/>
  <c r="I11" i="13"/>
  <c r="H11" i="13"/>
</calcChain>
</file>

<file path=xl/sharedStrings.xml><?xml version="1.0" encoding="utf-8"?>
<sst xmlns="http://schemas.openxmlformats.org/spreadsheetml/2006/main" count="601" uniqueCount="244">
  <si>
    <t>Fund Tx</t>
    <phoneticPr fontId="1" type="noConversion"/>
  </si>
  <si>
    <t>Fund Rx</t>
  </si>
  <si>
    <t>2nd Tx</t>
    <phoneticPr fontId="1" type="noConversion"/>
  </si>
  <si>
    <t>3rd Tx</t>
  </si>
  <si>
    <t>Uplink (Tx)</t>
    <phoneticPr fontId="1" type="noConversion"/>
  </si>
  <si>
    <t>Downlink (Rx)</t>
    <phoneticPr fontId="1" type="noConversion"/>
  </si>
  <si>
    <t>Scheme</t>
    <phoneticPr fontId="1" type="noConversion"/>
  </si>
  <si>
    <t>Tx 2nd harmonic</t>
    <phoneticPr fontId="1" type="noConversion"/>
  </si>
  <si>
    <t>Tx 3rd harmonic</t>
    <phoneticPr fontId="1" type="noConversion"/>
  </si>
  <si>
    <t>Unit</t>
    <phoneticPr fontId="1" type="noConversion"/>
  </si>
  <si>
    <t>MHz</t>
    <phoneticPr fontId="1" type="noConversion"/>
  </si>
  <si>
    <t>Band</t>
    <phoneticPr fontId="1" type="noConversion"/>
  </si>
  <si>
    <t>FDD</t>
  </si>
  <si>
    <t>Reserved</t>
  </si>
  <si>
    <t>...</t>
  </si>
  <si>
    <t>TDD</t>
  </si>
  <si>
    <t>Note 1: Band 6 is not applicable.</t>
  </si>
  <si>
    <t>Note 2: Restricted to E-UTRA operation when carrier aggregation is configured. The downlink operating band is paired with the uplink operating band (external) of the carrier aggregation configuration that is supporting the configured Pcell.</t>
  </si>
  <si>
    <t>X</t>
    <phoneticPr fontId="1" type="noConversion"/>
  </si>
  <si>
    <t>Y</t>
    <phoneticPr fontId="1" type="noConversion"/>
  </si>
  <si>
    <t>Band</t>
    <phoneticPr fontId="1" type="noConversion"/>
  </si>
  <si>
    <t>B
(17,4)</t>
    <phoneticPr fontId="1" type="noConversion"/>
  </si>
  <si>
    <t>C
(16,5)</t>
    <phoneticPr fontId="1" type="noConversion"/>
  </si>
  <si>
    <t>D
(16,6)</t>
    <phoneticPr fontId="1" type="noConversion"/>
  </si>
  <si>
    <t>Band</t>
    <phoneticPr fontId="1" type="noConversion"/>
  </si>
  <si>
    <t>Band</t>
    <phoneticPr fontId="1" type="noConversion"/>
  </si>
  <si>
    <t xml:space="preserve">1st </t>
    <phoneticPr fontId="1" type="noConversion"/>
  </si>
  <si>
    <t xml:space="preserve">2nd </t>
    <phoneticPr fontId="1" type="noConversion"/>
  </si>
  <si>
    <t xml:space="preserve">3rd </t>
    <phoneticPr fontId="1" type="noConversion"/>
  </si>
  <si>
    <t>A
(17,3)</t>
    <phoneticPr fontId="1" type="noConversion"/>
  </si>
  <si>
    <t>A2nd
(17,8)</t>
    <phoneticPr fontId="1" type="noConversion"/>
  </si>
  <si>
    <t>B2nd
(17,9)</t>
    <phoneticPr fontId="1" type="noConversion"/>
  </si>
  <si>
    <t>A3rd
(17,10)</t>
    <phoneticPr fontId="1" type="noConversion"/>
  </si>
  <si>
    <t>B3rd
(17,11)</t>
    <phoneticPr fontId="1" type="noConversion"/>
  </si>
  <si>
    <t>P
(16,3)</t>
    <phoneticPr fontId="1" type="noConversion"/>
  </si>
  <si>
    <t>Q
(16,4)</t>
    <phoneticPr fontId="1" type="noConversion"/>
  </si>
  <si>
    <t>R
(17,5)</t>
    <phoneticPr fontId="1" type="noConversion"/>
  </si>
  <si>
    <t>S
(17,6)</t>
    <phoneticPr fontId="1" type="noConversion"/>
  </si>
  <si>
    <t xml:space="preserve">1st </t>
    <phoneticPr fontId="1" type="noConversion"/>
  </si>
  <si>
    <t xml:space="preserve">3rd </t>
    <phoneticPr fontId="1" type="noConversion"/>
  </si>
  <si>
    <t>P2nd
(16,8)</t>
    <phoneticPr fontId="1" type="noConversion"/>
  </si>
  <si>
    <t>Q2nd
(16,9)</t>
    <phoneticPr fontId="1" type="noConversion"/>
  </si>
  <si>
    <t>P3rd
(16,10)</t>
    <phoneticPr fontId="1" type="noConversion"/>
  </si>
  <si>
    <t>Q3rd
(16,11)</t>
    <phoneticPr fontId="1" type="noConversion"/>
  </si>
  <si>
    <t>Tx, low</t>
    <phoneticPr fontId="1" type="noConversion"/>
  </si>
  <si>
    <t>Tx, high</t>
    <phoneticPr fontId="1" type="noConversion"/>
  </si>
  <si>
    <t>Rx, low</t>
    <phoneticPr fontId="1" type="noConversion"/>
  </si>
  <si>
    <t>Rx, high</t>
    <phoneticPr fontId="1" type="noConversion"/>
  </si>
  <si>
    <t>2*X1</t>
  </si>
  <si>
    <t>MHz</t>
  </si>
  <si>
    <t>2*(Tx, low)</t>
    <phoneticPr fontId="1" type="noConversion"/>
  </si>
  <si>
    <t>2*(Tx, high)</t>
    <phoneticPr fontId="1" type="noConversion"/>
  </si>
  <si>
    <t>3*X2</t>
  </si>
  <si>
    <t>3*(Tx, low)</t>
    <phoneticPr fontId="1" type="noConversion"/>
  </si>
  <si>
    <t>3*(Tx, high)</t>
    <phoneticPr fontId="1" type="noConversion"/>
  </si>
  <si>
    <t>LTE</t>
    <phoneticPr fontId="1" type="noConversion"/>
  </si>
  <si>
    <t>Band</t>
  </si>
  <si>
    <t>Name</t>
  </si>
  <si>
    <t>BC0</t>
  </si>
  <si>
    <t>BC1</t>
  </si>
  <si>
    <t>1900 PCS</t>
  </si>
  <si>
    <t>BC2</t>
  </si>
  <si>
    <t>TACS</t>
  </si>
  <si>
    <t>BC3</t>
  </si>
  <si>
    <t>JTACS</t>
  </si>
  <si>
    <t>BC4</t>
  </si>
  <si>
    <t>Korean PCS</t>
  </si>
  <si>
    <t>BC5</t>
  </si>
  <si>
    <t>BC6</t>
  </si>
  <si>
    <t>2 GHz</t>
  </si>
  <si>
    <t>BC7</t>
  </si>
  <si>
    <t>700 Upper</t>
  </si>
  <si>
    <t>BC8</t>
  </si>
  <si>
    <t>BC9</t>
  </si>
  <si>
    <t>BC10</t>
  </si>
  <si>
    <t>Sec 800 MHz</t>
  </si>
  <si>
    <t>BC11</t>
  </si>
  <si>
    <t>400 MHz PAMR</t>
  </si>
  <si>
    <t>BC12</t>
  </si>
  <si>
    <t>800 MHz PAMR</t>
  </si>
  <si>
    <t>BC13</t>
  </si>
  <si>
    <t>2.5 GHz IMT-2000 Ext</t>
  </si>
  <si>
    <t>BC14</t>
  </si>
  <si>
    <t>US PCS 1.9 GHz</t>
  </si>
  <si>
    <t>BC15</t>
  </si>
  <si>
    <t>AWS</t>
  </si>
  <si>
    <t>BC16</t>
  </si>
  <si>
    <t>US 2.5 GHz</t>
  </si>
  <si>
    <t>BC18</t>
  </si>
  <si>
    <t>700 PS</t>
  </si>
  <si>
    <t>BC19</t>
  </si>
  <si>
    <t>700 Lower</t>
  </si>
  <si>
    <t>BC20</t>
  </si>
  <si>
    <t>1600 L-Band</t>
  </si>
  <si>
    <t>BC21</t>
  </si>
  <si>
    <t>2000 S-Band</t>
  </si>
  <si>
    <t>Uplink (Tx)</t>
  </si>
  <si>
    <t>Downlink (Rx)</t>
  </si>
  <si>
    <t>Scheme</t>
  </si>
  <si>
    <t>Tx 2nd harmonic</t>
  </si>
  <si>
    <t>Tx 3rd harmonic</t>
  </si>
  <si>
    <t>Unit</t>
  </si>
  <si>
    <t>X1</t>
  </si>
  <si>
    <t>X2</t>
  </si>
  <si>
    <t>Y1</t>
  </si>
  <si>
    <t>Y2</t>
  </si>
  <si>
    <t>2*X2</t>
  </si>
  <si>
    <t>3*X1</t>
  </si>
  <si>
    <t>CDMA-2000</t>
    <phoneticPr fontId="1" type="noConversion"/>
  </si>
  <si>
    <t xml:space="preserve"> Guard band --&gt;</t>
    <phoneticPr fontId="1" type="noConversion"/>
  </si>
  <si>
    <t>Uplink (Tx)</t>
    <phoneticPr fontId="44" type="noConversion"/>
  </si>
  <si>
    <t>Downlink (Rx)</t>
    <phoneticPr fontId="44" type="noConversion"/>
  </si>
  <si>
    <t>Scheme</t>
    <phoneticPr fontId="44" type="noConversion"/>
  </si>
  <si>
    <t>Tx 2nd harmonic</t>
    <phoneticPr fontId="44" type="noConversion"/>
  </si>
  <si>
    <t>Tx 3rd harmonic</t>
    <phoneticPr fontId="44" type="noConversion"/>
  </si>
  <si>
    <t>Unit</t>
    <phoneticPr fontId="44" type="noConversion"/>
  </si>
  <si>
    <t>MHz</t>
    <phoneticPr fontId="44" type="noConversion"/>
  </si>
  <si>
    <t>Band</t>
    <phoneticPr fontId="44" type="noConversion"/>
  </si>
  <si>
    <t>X1</t>
    <phoneticPr fontId="44" type="noConversion"/>
  </si>
  <si>
    <t>X2</t>
    <phoneticPr fontId="44" type="noConversion"/>
  </si>
  <si>
    <t>Y1</t>
    <phoneticPr fontId="44" type="noConversion"/>
  </si>
  <si>
    <t>Y2</t>
    <phoneticPr fontId="44" type="noConversion"/>
  </si>
  <si>
    <t>2*X1</t>
    <phoneticPr fontId="44" type="noConversion"/>
  </si>
  <si>
    <t>2*X2</t>
    <phoneticPr fontId="44" type="noConversion"/>
  </si>
  <si>
    <t>3*X1</t>
    <phoneticPr fontId="44" type="noConversion"/>
  </si>
  <si>
    <t>3*X2</t>
    <phoneticPr fontId="44" type="noConversion"/>
  </si>
  <si>
    <r>
      <t>FDD</t>
    </r>
    <r>
      <rPr>
        <vertAlign val="superscript"/>
        <sz val="12"/>
        <color rgb="FFFFFFFF"/>
        <rFont val="Calibri"/>
        <family val="2"/>
      </rPr>
      <t>2</t>
    </r>
  </si>
  <si>
    <t>Unit</t>
    <phoneticPr fontId="44" type="noConversion"/>
  </si>
  <si>
    <t>MHz</t>
    <phoneticPr fontId="44" type="noConversion"/>
  </si>
  <si>
    <t>MHz</t>
    <phoneticPr fontId="44" type="noConversion"/>
  </si>
  <si>
    <t>Band</t>
    <phoneticPr fontId="44" type="noConversion"/>
  </si>
  <si>
    <t>X1</t>
    <phoneticPr fontId="44" type="noConversion"/>
  </si>
  <si>
    <t>X2</t>
    <phoneticPr fontId="44" type="noConversion"/>
  </si>
  <si>
    <t>2*X1</t>
    <phoneticPr fontId="44" type="noConversion"/>
  </si>
  <si>
    <t>2*X2</t>
    <phoneticPr fontId="44" type="noConversion"/>
  </si>
  <si>
    <t>3*X1</t>
    <phoneticPr fontId="44" type="noConversion"/>
  </si>
  <si>
    <t>3*X2</t>
    <phoneticPr fontId="44" type="noConversion"/>
  </si>
  <si>
    <r>
      <t>FDD</t>
    </r>
    <r>
      <rPr>
        <vertAlign val="superscript"/>
        <sz val="17"/>
        <color rgb="FFFFFFFF"/>
        <rFont val="Calibri"/>
        <family val="2"/>
      </rPr>
      <t>2</t>
    </r>
  </si>
  <si>
    <t>w1</t>
    <phoneticPr fontId="1" type="noConversion"/>
  </si>
  <si>
    <t>w2</t>
    <phoneticPr fontId="1" type="noConversion"/>
  </si>
  <si>
    <t>w3</t>
    <phoneticPr fontId="1" type="noConversion"/>
  </si>
  <si>
    <t>w4</t>
    <phoneticPr fontId="1" type="noConversion"/>
  </si>
  <si>
    <t>w5</t>
    <phoneticPr fontId="1" type="noConversion"/>
  </si>
  <si>
    <t>w6</t>
    <phoneticPr fontId="1" type="noConversion"/>
  </si>
  <si>
    <t>w7</t>
    <phoneticPr fontId="1" type="noConversion"/>
  </si>
  <si>
    <t>w8</t>
    <phoneticPr fontId="1" type="noConversion"/>
  </si>
  <si>
    <t>w9</t>
    <phoneticPr fontId="1" type="noConversion"/>
  </si>
  <si>
    <t>w10</t>
    <phoneticPr fontId="1" type="noConversion"/>
  </si>
  <si>
    <t>w11</t>
    <phoneticPr fontId="1" type="noConversion"/>
  </si>
  <si>
    <t>w12</t>
    <phoneticPr fontId="1" type="noConversion"/>
  </si>
  <si>
    <t>w13</t>
    <phoneticPr fontId="1" type="noConversion"/>
  </si>
  <si>
    <t>w14</t>
    <phoneticPr fontId="1" type="noConversion"/>
  </si>
  <si>
    <t>N</t>
  </si>
  <si>
    <t>Safe!!!</t>
  </si>
  <si>
    <t>w36</t>
    <phoneticPr fontId="52" type="noConversion"/>
  </si>
  <si>
    <t>w40</t>
    <phoneticPr fontId="52" type="noConversion"/>
  </si>
  <si>
    <t>w44</t>
    <phoneticPr fontId="52" type="noConversion"/>
  </si>
  <si>
    <t>w48</t>
    <phoneticPr fontId="52" type="noConversion"/>
  </si>
  <si>
    <t>w52</t>
    <phoneticPr fontId="52" type="noConversion"/>
  </si>
  <si>
    <t>w56</t>
    <phoneticPr fontId="52" type="noConversion"/>
  </si>
  <si>
    <t>w60</t>
    <phoneticPr fontId="52" type="noConversion"/>
  </si>
  <si>
    <t>w64</t>
    <phoneticPr fontId="52" type="noConversion"/>
  </si>
  <si>
    <t>w100</t>
    <phoneticPr fontId="52" type="noConversion"/>
  </si>
  <si>
    <t>w104</t>
    <phoneticPr fontId="52" type="noConversion"/>
  </si>
  <si>
    <t>w108</t>
    <phoneticPr fontId="52" type="noConversion"/>
  </si>
  <si>
    <t>w112</t>
    <phoneticPr fontId="52" type="noConversion"/>
  </si>
  <si>
    <t>w116</t>
    <phoneticPr fontId="52" type="noConversion"/>
  </si>
  <si>
    <t>w120</t>
    <phoneticPr fontId="52" type="noConversion"/>
  </si>
  <si>
    <t>w124</t>
    <phoneticPr fontId="52" type="noConversion"/>
  </si>
  <si>
    <t>w128</t>
    <phoneticPr fontId="52" type="noConversion"/>
  </si>
  <si>
    <t>w132</t>
    <phoneticPr fontId="52" type="noConversion"/>
  </si>
  <si>
    <t>w136</t>
    <phoneticPr fontId="52" type="noConversion"/>
  </si>
  <si>
    <t>w140</t>
    <phoneticPr fontId="52" type="noConversion"/>
  </si>
  <si>
    <t>w144</t>
    <phoneticPr fontId="52" type="noConversion"/>
  </si>
  <si>
    <t>w149</t>
    <phoneticPr fontId="52" type="noConversion"/>
  </si>
  <si>
    <t>w153</t>
    <phoneticPr fontId="52" type="noConversion"/>
  </si>
  <si>
    <t>w157</t>
    <phoneticPr fontId="52" type="noConversion"/>
  </si>
  <si>
    <t>w161</t>
    <phoneticPr fontId="52" type="noConversion"/>
  </si>
  <si>
    <t>w165</t>
    <phoneticPr fontId="52" type="noConversion"/>
  </si>
  <si>
    <r>
      <rPr>
        <sz val="30"/>
        <color theme="1"/>
        <rFont val="微軟正黑體"/>
        <family val="2"/>
        <charset val="136"/>
      </rPr>
      <t>輸入</t>
    </r>
    <r>
      <rPr>
        <sz val="30"/>
        <color theme="1"/>
        <rFont val="Calibri"/>
        <family val="2"/>
      </rPr>
      <t>Band X ---&gt;</t>
    </r>
    <phoneticPr fontId="1" type="noConversion"/>
  </si>
  <si>
    <r>
      <t>1.</t>
    </r>
    <r>
      <rPr>
        <sz val="20"/>
        <color theme="1"/>
        <rFont val="Arial Unicode MS"/>
        <family val="2"/>
        <charset val="136"/>
      </rPr>
      <t>輸入</t>
    </r>
    <r>
      <rPr>
        <sz val="20"/>
        <color theme="1"/>
        <rFont val="Calibri"/>
        <family val="2"/>
      </rPr>
      <t>Band</t>
    </r>
    <phoneticPr fontId="1" type="noConversion"/>
  </si>
  <si>
    <r>
      <rPr>
        <sz val="30"/>
        <color theme="1"/>
        <rFont val="微軟正黑體"/>
        <family val="2"/>
        <charset val="136"/>
      </rPr>
      <t>輸入</t>
    </r>
    <r>
      <rPr>
        <sz val="30"/>
        <color theme="1"/>
        <rFont val="Calibri"/>
        <family val="2"/>
      </rPr>
      <t>Band Y ---&gt;</t>
    </r>
    <phoneticPr fontId="1" type="noConversion"/>
  </si>
  <si>
    <r>
      <t>2.</t>
    </r>
    <r>
      <rPr>
        <sz val="20"/>
        <color theme="1"/>
        <rFont val="Arial Unicode MS"/>
        <family val="2"/>
        <charset val="136"/>
      </rPr>
      <t>輸入</t>
    </r>
    <r>
      <rPr>
        <sz val="20"/>
        <color theme="1"/>
        <rFont val="Calibri"/>
        <family val="2"/>
      </rPr>
      <t>Band</t>
    </r>
    <phoneticPr fontId="1" type="noConversion"/>
  </si>
  <si>
    <r>
      <t>3.</t>
    </r>
    <r>
      <rPr>
        <sz val="20"/>
        <color theme="1"/>
        <rFont val="Arial Unicode MS"/>
        <family val="2"/>
        <charset val="136"/>
      </rPr>
      <t>輸入</t>
    </r>
    <r>
      <rPr>
        <sz val="20"/>
        <color theme="1"/>
        <rFont val="Calibri"/>
        <family val="2"/>
      </rPr>
      <t>guard band (MHz)</t>
    </r>
    <phoneticPr fontId="1" type="noConversion"/>
  </si>
  <si>
    <r>
      <t>Y</t>
    </r>
    <r>
      <rPr>
        <sz val="14"/>
        <color theme="1"/>
        <rFont val="Arial Unicode MS"/>
        <family val="2"/>
        <charset val="136"/>
      </rPr>
      <t>的</t>
    </r>
    <r>
      <rPr>
        <sz val="14"/>
        <color theme="1"/>
        <rFont val="Calibri"/>
        <family val="2"/>
      </rPr>
      <t>Tx</t>
    </r>
    <r>
      <rPr>
        <sz val="14"/>
        <color theme="1"/>
        <rFont val="Arial Unicode MS"/>
        <family val="2"/>
        <charset val="136"/>
      </rPr>
      <t>打</t>
    </r>
    <r>
      <rPr>
        <sz val="14"/>
        <color theme="1"/>
        <rFont val="Calibri"/>
        <family val="2"/>
      </rPr>
      <t>X</t>
    </r>
    <r>
      <rPr>
        <sz val="14"/>
        <color theme="1"/>
        <rFont val="Arial Unicode MS"/>
        <family val="2"/>
        <charset val="136"/>
      </rPr>
      <t>的</t>
    </r>
    <r>
      <rPr>
        <sz val="14"/>
        <color theme="1"/>
        <rFont val="Calibri"/>
        <family val="2"/>
      </rPr>
      <t>Rx</t>
    </r>
  </si>
  <si>
    <r>
      <t>Tx</t>
    </r>
    <r>
      <rPr>
        <b/>
        <sz val="18"/>
        <rFont val="Arial Unicode MS"/>
        <family val="2"/>
        <charset val="136"/>
      </rPr>
      <t>打中</t>
    </r>
    <r>
      <rPr>
        <b/>
        <sz val="18"/>
        <rFont val="Calibri"/>
        <family val="2"/>
      </rPr>
      <t>? (</t>
    </r>
    <r>
      <rPr>
        <b/>
        <sz val="18"/>
        <rFont val="Arial Unicode MS"/>
        <family val="2"/>
        <charset val="136"/>
      </rPr>
      <t>請考慮</t>
    </r>
    <r>
      <rPr>
        <b/>
        <sz val="18"/>
        <rFont val="Calibri"/>
        <family val="2"/>
      </rPr>
      <t>guard band)</t>
    </r>
    <phoneticPr fontId="1" type="noConversion"/>
  </si>
  <si>
    <r>
      <t>X</t>
    </r>
    <r>
      <rPr>
        <b/>
        <sz val="14"/>
        <rFont val="Arial Unicode MS"/>
        <family val="2"/>
        <charset val="136"/>
      </rPr>
      <t>的</t>
    </r>
    <r>
      <rPr>
        <b/>
        <sz val="14"/>
        <rFont val="Calibri"/>
        <family val="2"/>
      </rPr>
      <t>Tx</t>
    </r>
    <r>
      <rPr>
        <b/>
        <sz val="14"/>
        <rFont val="Arial Unicode MS"/>
        <family val="2"/>
        <charset val="136"/>
      </rPr>
      <t>打</t>
    </r>
    <r>
      <rPr>
        <b/>
        <sz val="14"/>
        <rFont val="Calibri"/>
        <family val="2"/>
      </rPr>
      <t>Y</t>
    </r>
    <r>
      <rPr>
        <b/>
        <sz val="14"/>
        <rFont val="Arial Unicode MS"/>
        <family val="2"/>
        <charset val="136"/>
      </rPr>
      <t>的</t>
    </r>
    <r>
      <rPr>
        <b/>
        <sz val="14"/>
        <rFont val="Calibri"/>
        <family val="2"/>
      </rPr>
      <t>Rx</t>
    </r>
    <phoneticPr fontId="1" type="noConversion"/>
  </si>
  <si>
    <t>Tx</t>
    <phoneticPr fontId="1" type="noConversion"/>
  </si>
  <si>
    <t xml:space="preserve">2nd </t>
    <phoneticPr fontId="1" type="noConversion"/>
  </si>
  <si>
    <t>2H Tx and</t>
    <phoneticPr fontId="1" type="noConversion"/>
  </si>
  <si>
    <r>
      <t>Rx</t>
    </r>
    <r>
      <rPr>
        <b/>
        <sz val="16"/>
        <color theme="1"/>
        <rFont val="細明體"/>
        <family val="3"/>
        <charset val="136"/>
      </rPr>
      <t>被</t>
    </r>
    <phoneticPr fontId="1" type="noConversion"/>
  </si>
  <si>
    <r>
      <t>Rx</t>
    </r>
    <r>
      <rPr>
        <b/>
        <sz val="16"/>
        <rFont val="Arial Unicode MS"/>
        <family val="2"/>
        <charset val="136"/>
      </rPr>
      <t>被</t>
    </r>
    <phoneticPr fontId="1" type="noConversion"/>
  </si>
  <si>
    <r>
      <t>Rx</t>
    </r>
    <r>
      <rPr>
        <b/>
        <sz val="16"/>
        <color theme="1"/>
        <rFont val="細明體"/>
        <family val="3"/>
        <charset val="136"/>
      </rPr>
      <t>被</t>
    </r>
  </si>
  <si>
    <r>
      <t>Rx</t>
    </r>
    <r>
      <rPr>
        <b/>
        <sz val="16"/>
        <color theme="1"/>
        <rFont val="細明體"/>
        <family val="3"/>
        <charset val="136"/>
      </rPr>
      <t>被</t>
    </r>
    <phoneticPr fontId="1" type="noConversion"/>
  </si>
  <si>
    <t>Tx and</t>
    <phoneticPr fontId="1" type="noConversion"/>
  </si>
  <si>
    <t>2H Tx</t>
    <phoneticPr fontId="1" type="noConversion"/>
  </si>
  <si>
    <t>Tx and</t>
    <phoneticPr fontId="1" type="noConversion"/>
  </si>
  <si>
    <t>GLO</t>
    <phoneticPr fontId="52" type="noConversion"/>
  </si>
  <si>
    <t>BDS</t>
    <phoneticPr fontId="52" type="noConversion"/>
  </si>
  <si>
    <t>GAL</t>
    <phoneticPr fontId="52" type="noConversion"/>
  </si>
  <si>
    <t>CDMA</t>
    <phoneticPr fontId="1" type="noConversion"/>
  </si>
  <si>
    <t>FDMA</t>
    <phoneticPr fontId="1" type="noConversion"/>
  </si>
  <si>
    <t>CDMA</t>
    <phoneticPr fontId="1" type="noConversion"/>
  </si>
  <si>
    <t>CDMA/BOC</t>
    <phoneticPr fontId="1" type="noConversion"/>
  </si>
  <si>
    <t>GPS_L1</t>
    <phoneticPr fontId="52" type="noConversion"/>
  </si>
  <si>
    <t>GPS_L2</t>
    <phoneticPr fontId="52" type="noConversion"/>
  </si>
  <si>
    <t>GPS_L5</t>
    <phoneticPr fontId="52" type="noConversion"/>
  </si>
  <si>
    <t>GSM850</t>
    <phoneticPr fontId="52" type="noConversion"/>
  </si>
  <si>
    <t>EGSM900</t>
    <phoneticPr fontId="52" type="noConversion"/>
  </si>
  <si>
    <t>DCS</t>
    <phoneticPr fontId="52" type="noConversion"/>
  </si>
  <si>
    <t>PCS</t>
    <phoneticPr fontId="52" type="noConversion"/>
  </si>
  <si>
    <t>wifi_2.4G</t>
    <phoneticPr fontId="1" type="noConversion"/>
  </si>
  <si>
    <t>wifi_5G</t>
    <phoneticPr fontId="1" type="noConversion"/>
  </si>
  <si>
    <t>TDD</t>
    <phoneticPr fontId="1" type="noConversion"/>
  </si>
  <si>
    <t>TDD</t>
    <phoneticPr fontId="1" type="noConversion"/>
  </si>
  <si>
    <r>
      <t>X</t>
    </r>
    <r>
      <rPr>
        <b/>
        <sz val="16"/>
        <color theme="1"/>
        <rFont val="Arial Unicode MS"/>
        <family val="2"/>
        <charset val="136"/>
      </rPr>
      <t>跟</t>
    </r>
    <r>
      <rPr>
        <b/>
        <sz val="16"/>
        <color theme="1"/>
        <rFont val="Calibri"/>
        <family val="2"/>
      </rPr>
      <t>Y</t>
    </r>
    <r>
      <rPr>
        <b/>
        <sz val="16"/>
        <color theme="1"/>
        <rFont val="Arial Unicode MS"/>
        <family val="2"/>
        <charset val="136"/>
      </rPr>
      <t>的範圍</t>
    </r>
    <r>
      <rPr>
        <b/>
        <sz val="16"/>
        <color theme="1"/>
        <rFont val="Calibri"/>
        <family val="2"/>
      </rPr>
      <t xml:space="preserve">: 
LTE band: </t>
    </r>
    <r>
      <rPr>
        <b/>
        <sz val="16"/>
        <color theme="1"/>
        <rFont val="Arial Unicode MS"/>
        <family val="2"/>
        <charset val="136"/>
      </rPr>
      <t>參照</t>
    </r>
    <r>
      <rPr>
        <b/>
        <sz val="16"/>
        <color theme="1"/>
        <rFont val="Calibri"/>
        <family val="2"/>
      </rPr>
      <t xml:space="preserve">Band_Table
CDMA band: </t>
    </r>
    <r>
      <rPr>
        <b/>
        <sz val="16"/>
        <color theme="1"/>
        <rFont val="Arial Unicode MS"/>
        <family val="2"/>
        <charset val="136"/>
      </rPr>
      <t>參照</t>
    </r>
    <r>
      <rPr>
        <b/>
        <sz val="16"/>
        <color theme="1"/>
        <rFont val="Calibri"/>
        <family val="2"/>
      </rPr>
      <t xml:space="preserve">Band_Table
Ex. LTE band1, </t>
    </r>
    <r>
      <rPr>
        <b/>
        <sz val="16"/>
        <color theme="1"/>
        <rFont val="Arial Unicode MS"/>
        <family val="2"/>
        <charset val="136"/>
      </rPr>
      <t>輸入</t>
    </r>
    <r>
      <rPr>
        <b/>
        <sz val="16"/>
        <color theme="1"/>
        <rFont val="Calibri"/>
        <family val="2"/>
      </rPr>
      <t xml:space="preserve">1; CDMA BC0, </t>
    </r>
    <r>
      <rPr>
        <b/>
        <sz val="16"/>
        <color theme="1"/>
        <rFont val="Arial Unicode MS"/>
        <family val="2"/>
        <charset val="136"/>
      </rPr>
      <t>輸入</t>
    </r>
    <r>
      <rPr>
        <b/>
        <sz val="16"/>
        <color theme="1"/>
        <rFont val="Calibri"/>
        <family val="2"/>
      </rPr>
      <t xml:space="preserve">BC0; WiFi 2.4G </t>
    </r>
    <r>
      <rPr>
        <b/>
        <sz val="16"/>
        <color theme="1"/>
        <rFont val="Arial Unicode MS"/>
        <family val="2"/>
        <charset val="136"/>
      </rPr>
      <t>輸入</t>
    </r>
    <r>
      <rPr>
        <b/>
        <sz val="16"/>
        <color theme="1"/>
        <rFont val="Calibri"/>
        <family val="2"/>
      </rPr>
      <t xml:space="preserve">w1 - w14 or wifi_2.4G; WiFi 5G </t>
    </r>
    <r>
      <rPr>
        <b/>
        <sz val="16"/>
        <color theme="1"/>
        <rFont val="Arial Unicode MS"/>
        <family val="2"/>
        <charset val="136"/>
      </rPr>
      <t>輸入</t>
    </r>
    <r>
      <rPr>
        <b/>
        <sz val="16"/>
        <color theme="1"/>
        <rFont val="Calibri"/>
        <family val="2"/>
      </rPr>
      <t>w36 - w165 or wifi_5G</t>
    </r>
    <phoneticPr fontId="1" type="noConversion"/>
  </si>
  <si>
    <r>
      <t>Rx</t>
    </r>
    <r>
      <rPr>
        <b/>
        <sz val="16"/>
        <color theme="1"/>
        <rFont val="細明體"/>
        <family val="3"/>
        <charset val="136"/>
      </rPr>
      <t>被</t>
    </r>
    <phoneticPr fontId="1" type="noConversion"/>
  </si>
  <si>
    <t>Tx and</t>
    <phoneticPr fontId="1" type="noConversion"/>
  </si>
  <si>
    <t>2H Tx</t>
    <phoneticPr fontId="1" type="noConversion"/>
  </si>
  <si>
    <t>GNSS</t>
    <phoneticPr fontId="1" type="noConversion"/>
  </si>
  <si>
    <t>fix: 1559-1606 MHz</t>
    <phoneticPr fontId="1" type="noConversion"/>
  </si>
  <si>
    <t>4_5</t>
    <phoneticPr fontId="1" type="noConversion"/>
  </si>
  <si>
    <t>5_5</t>
    <phoneticPr fontId="1" type="noConversion"/>
  </si>
  <si>
    <t>5_7</t>
    <phoneticPr fontId="1" type="noConversion"/>
  </si>
  <si>
    <t>5_8</t>
    <phoneticPr fontId="1" type="noConversion"/>
  </si>
  <si>
    <t>5_9</t>
    <phoneticPr fontId="1" type="noConversion"/>
  </si>
  <si>
    <t>5_10</t>
    <phoneticPr fontId="1" type="noConversion"/>
  </si>
  <si>
    <t>N</t>
    <phoneticPr fontId="1" type="noConversion"/>
  </si>
  <si>
    <r>
      <t>Rx</t>
    </r>
    <r>
      <rPr>
        <b/>
        <sz val="16"/>
        <color theme="1"/>
        <rFont val="細明體"/>
        <family val="3"/>
        <charset val="136"/>
      </rPr>
      <t>被</t>
    </r>
    <phoneticPr fontId="1" type="noConversion"/>
  </si>
  <si>
    <t>Tx and</t>
    <phoneticPr fontId="1" type="noConversion"/>
  </si>
  <si>
    <t>IM2打中? (f1+f2 or f2+f1)</t>
  </si>
  <si>
    <t>IM2打中? (f1-f2 or f2-f1)</t>
  </si>
  <si>
    <r>
      <t>IM3</t>
    </r>
    <r>
      <rPr>
        <b/>
        <sz val="16"/>
        <color rgb="FF0070C0"/>
        <rFont val="細明體"/>
        <family val="3"/>
        <charset val="136"/>
      </rPr>
      <t>打中</t>
    </r>
    <r>
      <rPr>
        <b/>
        <sz val="16"/>
        <color rgb="FF0070C0"/>
        <rFont val="Calibri"/>
        <family val="2"/>
      </rPr>
      <t>? (2f1-f2 or 2f2-f1)</t>
    </r>
    <phoneticPr fontId="1" type="noConversion"/>
  </si>
  <si>
    <r>
      <t>IM3</t>
    </r>
    <r>
      <rPr>
        <b/>
        <sz val="16"/>
        <color rgb="FF0070C0"/>
        <rFont val="細明體"/>
        <family val="3"/>
        <charset val="136"/>
      </rPr>
      <t>打中</t>
    </r>
    <r>
      <rPr>
        <b/>
        <sz val="16"/>
        <color rgb="FF0070C0"/>
        <rFont val="Calibri"/>
        <family val="2"/>
      </rPr>
      <t>? (f1-2f2 or f2-2f1)</t>
    </r>
    <phoneticPr fontId="1" type="noConversion"/>
  </si>
  <si>
    <r>
      <t>IM2</t>
    </r>
    <r>
      <rPr>
        <b/>
        <sz val="16"/>
        <color rgb="FF7030A0"/>
        <rFont val="細明體"/>
        <family val="3"/>
        <charset val="136"/>
      </rPr>
      <t>打中</t>
    </r>
    <r>
      <rPr>
        <b/>
        <sz val="16"/>
        <color rgb="FF7030A0"/>
        <rFont val="Calibri"/>
        <family val="2"/>
      </rPr>
      <t>? (f1-f2 or f2-f1)</t>
    </r>
    <phoneticPr fontId="1" type="noConversion"/>
  </si>
  <si>
    <t>5_11</t>
    <phoneticPr fontId="1" type="noConversion"/>
  </si>
  <si>
    <t>5_12</t>
    <phoneticPr fontId="1" type="noConversion"/>
  </si>
  <si>
    <t>5_13</t>
    <phoneticPr fontId="1" type="noConversion"/>
  </si>
  <si>
    <t>5_14</t>
    <phoneticPr fontId="1" type="noConversion"/>
  </si>
  <si>
    <t>Shamyah &amp; Jay is so handsome!</t>
    <phoneticPr fontId="1" type="noConversion"/>
  </si>
  <si>
    <t>FDD</t>
    <phoneticPr fontId="1" type="noConversion"/>
  </si>
  <si>
    <t>N</t>
    <phoneticPr fontId="1" type="noConversion"/>
  </si>
  <si>
    <t>wifi_2.4G</t>
  </si>
  <si>
    <t>wifi_2.4G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</si>
</sst>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_ "/>
  </numFmts>
  <fonts count="8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Calibri"/>
      <family val="2"/>
    </font>
    <font>
      <sz val="14"/>
      <color theme="1"/>
      <name val="Calibri"/>
      <family val="2"/>
    </font>
    <font>
      <b/>
      <i/>
      <sz val="12"/>
      <color theme="1"/>
      <name val="Calibri"/>
      <family val="2"/>
    </font>
    <font>
      <b/>
      <i/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4"/>
      <color theme="1"/>
      <name val="Arial Unicode MS"/>
      <family val="2"/>
      <charset val="136"/>
    </font>
    <font>
      <b/>
      <i/>
      <sz val="14"/>
      <color theme="1"/>
      <name val="Calibri"/>
      <family val="2"/>
    </font>
    <font>
      <b/>
      <i/>
      <sz val="14"/>
      <color rgb="FF000000"/>
      <name val="Calibri"/>
      <family val="2"/>
    </font>
    <font>
      <b/>
      <sz val="22"/>
      <color rgb="FF000000"/>
      <name val="微軟正黑體"/>
      <family val="2"/>
      <charset val="136"/>
    </font>
    <font>
      <sz val="12"/>
      <color rgb="FFFF0000"/>
      <name val="Calibri"/>
      <family val="2"/>
    </font>
    <font>
      <sz val="12"/>
      <color rgb="FF0000CC"/>
      <name val="Calibri"/>
      <family val="2"/>
    </font>
    <font>
      <b/>
      <sz val="25"/>
      <color theme="1"/>
      <name val="Calibri"/>
      <family val="2"/>
    </font>
    <font>
      <b/>
      <sz val="14"/>
      <name val="Arial Unicode MS"/>
      <family val="2"/>
      <charset val="136"/>
    </font>
    <font>
      <b/>
      <sz val="16"/>
      <color theme="1"/>
      <name val="Arial Unicode MS"/>
      <family val="2"/>
      <charset val="136"/>
    </font>
    <font>
      <sz val="30"/>
      <color theme="1"/>
      <name val="微軟正黑體"/>
      <family val="2"/>
      <charset val="136"/>
    </font>
    <font>
      <sz val="20"/>
      <color theme="1"/>
      <name val="Arial Unicode MS"/>
      <family val="2"/>
      <charset val="136"/>
    </font>
    <font>
      <b/>
      <sz val="33"/>
      <color theme="0"/>
      <name val="Calibri"/>
      <family val="2"/>
    </font>
    <font>
      <sz val="17"/>
      <color rgb="FF000000"/>
      <name val="Calibri"/>
      <family val="2"/>
    </font>
    <font>
      <b/>
      <sz val="18"/>
      <name val="Arial Unicode MS"/>
      <family val="2"/>
      <charset val="136"/>
    </font>
    <font>
      <b/>
      <i/>
      <sz val="16"/>
      <color theme="1"/>
      <name val="Calibri"/>
      <family val="2"/>
    </font>
    <font>
      <sz val="9"/>
      <name val="新細明體"/>
      <family val="2"/>
      <charset val="136"/>
    </font>
    <font>
      <sz val="12"/>
      <color rgb="FFFFFFFF"/>
      <name val="Calibri"/>
      <family val="2"/>
    </font>
    <font>
      <vertAlign val="superscript"/>
      <sz val="12"/>
      <color rgb="FFFFFFFF"/>
      <name val="Calibri"/>
      <family val="2"/>
    </font>
    <font>
      <b/>
      <i/>
      <sz val="17"/>
      <color rgb="FF000000"/>
      <name val="Calibri"/>
      <family val="2"/>
    </font>
    <font>
      <b/>
      <sz val="17"/>
      <color rgb="FF000000"/>
      <name val="Calibri"/>
      <family val="2"/>
    </font>
    <font>
      <sz val="17"/>
      <color rgb="FFFFFFFF"/>
      <name val="Calibri"/>
      <family val="2"/>
    </font>
    <font>
      <vertAlign val="superscript"/>
      <sz val="17"/>
      <color rgb="FFFFFFFF"/>
      <name val="Calibri"/>
      <family val="2"/>
    </font>
    <font>
      <sz val="10"/>
      <name val="Arial"/>
      <family val="2"/>
    </font>
    <font>
      <sz val="9"/>
      <name val="細明體"/>
      <family val="3"/>
      <charset val="136"/>
    </font>
    <font>
      <sz val="17"/>
      <color theme="1"/>
      <name val="Calibri"/>
      <family val="2"/>
    </font>
    <font>
      <b/>
      <sz val="17"/>
      <name val="Calibri"/>
      <family val="2"/>
    </font>
    <font>
      <b/>
      <sz val="18"/>
      <color theme="1"/>
      <name val="Calibri"/>
      <family val="2"/>
    </font>
    <font>
      <b/>
      <i/>
      <sz val="17"/>
      <color theme="1"/>
      <name val="Calibri"/>
      <family val="2"/>
    </font>
    <font>
      <b/>
      <sz val="16"/>
      <color theme="1"/>
      <name val="Calibri"/>
      <family val="2"/>
    </font>
    <font>
      <sz val="30"/>
      <color theme="1"/>
      <name val="Calibri"/>
      <family val="2"/>
    </font>
    <font>
      <sz val="20"/>
      <color theme="1"/>
      <name val="Calibri"/>
      <family val="2"/>
    </font>
    <font>
      <sz val="17"/>
      <color rgb="FF292B2C"/>
      <name val="Calibri"/>
      <family val="2"/>
    </font>
    <font>
      <b/>
      <sz val="14"/>
      <name val="Calibri"/>
      <family val="2"/>
    </font>
    <font>
      <b/>
      <sz val="18"/>
      <name val="Calibri"/>
      <family val="2"/>
    </font>
    <font>
      <b/>
      <sz val="30"/>
      <color rgb="FF00B050"/>
      <name val="Calibri"/>
      <family val="2"/>
    </font>
    <font>
      <b/>
      <sz val="60"/>
      <color rgb="FF00B050"/>
      <name val="Calibri"/>
      <family val="2"/>
    </font>
    <font>
      <b/>
      <sz val="30"/>
      <color theme="1"/>
      <name val="Calibri"/>
      <family val="2"/>
    </font>
    <font>
      <b/>
      <sz val="60"/>
      <color theme="1"/>
      <name val="Calibri"/>
      <family val="2"/>
    </font>
    <font>
      <b/>
      <sz val="33"/>
      <name val="Calibri"/>
      <family val="2"/>
    </font>
    <font>
      <b/>
      <sz val="30"/>
      <color rgb="FFFF0000"/>
      <name val="Calibri"/>
      <family val="2"/>
    </font>
    <font>
      <b/>
      <sz val="33"/>
      <color theme="1"/>
      <name val="Calibri"/>
      <family val="2"/>
    </font>
    <font>
      <sz val="14"/>
      <color theme="1"/>
      <name val="細明體"/>
      <family val="3"/>
      <charset val="136"/>
    </font>
    <font>
      <b/>
      <sz val="33"/>
      <color theme="1"/>
      <name val="新細明體"/>
      <family val="2"/>
      <charset val="136"/>
      <scheme val="minor"/>
    </font>
    <font>
      <b/>
      <sz val="16"/>
      <color theme="1"/>
      <name val="細明體"/>
      <family val="3"/>
      <charset val="136"/>
    </font>
    <font>
      <sz val="16"/>
      <color theme="1"/>
      <name val="新細明體"/>
      <family val="2"/>
      <charset val="136"/>
      <scheme val="minor"/>
    </font>
    <font>
      <b/>
      <sz val="16"/>
      <name val="Calibri"/>
      <family val="2"/>
    </font>
    <font>
      <b/>
      <sz val="16"/>
      <name val="Arial Unicode MS"/>
      <family val="2"/>
      <charset val="136"/>
    </font>
    <font>
      <b/>
      <sz val="16"/>
      <color theme="1"/>
      <name val="新細明體"/>
      <family val="2"/>
      <charset val="136"/>
      <scheme val="minor"/>
    </font>
    <font>
      <b/>
      <sz val="16"/>
      <color rgb="FF0070C0"/>
      <name val="Calibri"/>
      <family val="2"/>
    </font>
    <font>
      <b/>
      <sz val="16"/>
      <color rgb="FF0070C0"/>
      <name val="細明體"/>
      <family val="3"/>
      <charset val="136"/>
    </font>
    <font>
      <b/>
      <sz val="16"/>
      <color rgb="FF0070C0"/>
      <name val="新細明體"/>
      <family val="2"/>
      <charset val="136"/>
      <scheme val="minor"/>
    </font>
    <font>
      <sz val="14"/>
      <color rgb="FF0070C0"/>
      <name val="Calibri"/>
      <family val="2"/>
    </font>
    <font>
      <b/>
      <sz val="16"/>
      <color rgb="FF7030A0"/>
      <name val="Calibri"/>
      <family val="2"/>
    </font>
    <font>
      <b/>
      <sz val="16"/>
      <color rgb="FF7030A0"/>
      <name val="細明體"/>
      <family val="3"/>
      <charset val="136"/>
    </font>
    <font>
      <b/>
      <sz val="16"/>
      <color rgb="FF7030A0"/>
      <name val="新細明體"/>
      <family val="2"/>
      <charset val="136"/>
      <scheme val="minor"/>
    </font>
    <font>
      <sz val="14"/>
      <color rgb="FF7030A0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6B0A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7" tint="0.59999389629810485"/>
        <bgColor rgb="FF000000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8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4" applyNumberFormat="0" applyAlignment="0" applyProtection="0">
      <alignment vertical="center"/>
    </xf>
    <xf numFmtId="0" fontId="11" fillId="6" borderId="5" applyNumberFormat="0" applyAlignment="0" applyProtection="0">
      <alignment vertical="center"/>
    </xf>
    <xf numFmtId="0" fontId="12" fillId="6" borderId="4" applyNumberFormat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7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9" fillId="0" borderId="0"/>
    <xf numFmtId="0" fontId="20" fillId="0" borderId="0"/>
    <xf numFmtId="0" fontId="19" fillId="0" borderId="0"/>
    <xf numFmtId="0" fontId="21" fillId="0" borderId="0">
      <alignment vertical="center"/>
    </xf>
    <xf numFmtId="0" fontId="19" fillId="0" borderId="0"/>
    <xf numFmtId="0" fontId="51" fillId="0" borderId="0"/>
  </cellStyleXfs>
  <cellXfs count="419">
    <xf numFmtId="0" fontId="0" fillId="0" borderId="0" xfId="0">
      <alignment vertical="center"/>
    </xf>
    <xf numFmtId="0" fontId="41" fillId="46" borderId="25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Protection="1">
      <alignment vertical="center"/>
      <protection locked="0"/>
    </xf>
    <xf numFmtId="0" fontId="49" fillId="45" borderId="21" xfId="0" applyFont="1" applyFill="1" applyBorder="1" applyAlignment="1" applyProtection="1">
      <alignment horizontal="center" vertical="center" wrapText="1"/>
      <protection locked="0"/>
    </xf>
    <xf numFmtId="0" fontId="40" fillId="38" borderId="53" xfId="0" applyFont="1" applyFill="1" applyBorder="1" applyAlignment="1" applyProtection="1">
      <alignment horizontal="center" vertical="center" wrapText="1"/>
      <protection locked="0"/>
    </xf>
    <xf numFmtId="0" fontId="40" fillId="40" borderId="65" xfId="0" applyFont="1" applyFill="1" applyBorder="1" applyAlignment="1" applyProtection="1">
      <alignment horizontal="center" vertical="center" wrapText="1"/>
      <protection locked="0"/>
    </xf>
    <xf numFmtId="0" fontId="30" fillId="0" borderId="19" xfId="0" applyFont="1" applyBorder="1" applyAlignment="1" applyProtection="1">
      <alignment horizontal="center" vertical="center" wrapText="1"/>
      <protection locked="0"/>
    </xf>
    <xf numFmtId="0" fontId="30" fillId="0" borderId="22" xfId="0" applyFont="1" applyBorder="1" applyAlignment="1" applyProtection="1">
      <alignment horizontal="center" vertical="center" wrapText="1"/>
      <protection locked="0"/>
    </xf>
    <xf numFmtId="0" fontId="30" fillId="39" borderId="23" xfId="0" applyFont="1" applyFill="1" applyBorder="1" applyAlignment="1" applyProtection="1">
      <alignment horizontal="center" vertical="center"/>
      <protection locked="0"/>
    </xf>
    <xf numFmtId="0" fontId="30" fillId="39" borderId="24" xfId="0" applyFont="1" applyFill="1" applyBorder="1" applyAlignment="1" applyProtection="1">
      <alignment horizontal="center" vertical="center"/>
      <protection locked="0"/>
    </xf>
    <xf numFmtId="0" fontId="30" fillId="39" borderId="26" xfId="0" applyFont="1" applyFill="1" applyBorder="1" applyAlignment="1" applyProtection="1">
      <alignment horizontal="center" vertical="center"/>
      <protection locked="0"/>
    </xf>
    <xf numFmtId="0" fontId="30" fillId="39" borderId="25" xfId="0" applyFont="1" applyFill="1" applyBorder="1" applyAlignment="1" applyProtection="1">
      <alignment horizontal="center" vertical="center"/>
      <protection locked="0"/>
    </xf>
    <xf numFmtId="0" fontId="26" fillId="0" borderId="19" xfId="0" applyFont="1" applyBorder="1" applyAlignment="1" applyProtection="1">
      <alignment horizontal="center" vertical="center" wrapText="1"/>
      <protection locked="0"/>
    </xf>
    <xf numFmtId="0" fontId="33" fillId="0" borderId="20" xfId="0" applyFont="1" applyBorder="1" applyAlignment="1" applyProtection="1">
      <alignment vertical="center" wrapText="1"/>
      <protection locked="0"/>
    </xf>
    <xf numFmtId="0" fontId="33" fillId="0" borderId="13" xfId="0" applyFont="1" applyBorder="1" applyAlignment="1" applyProtection="1">
      <alignment vertical="center" wrapText="1"/>
      <protection locked="0"/>
    </xf>
    <xf numFmtId="0" fontId="34" fillId="0" borderId="13" xfId="0" applyFont="1" applyBorder="1" applyAlignment="1" applyProtection="1">
      <alignment vertical="center" wrapText="1"/>
      <protection locked="0"/>
    </xf>
    <xf numFmtId="0" fontId="27" fillId="37" borderId="21" xfId="0" applyFont="1" applyFill="1" applyBorder="1" applyAlignment="1" applyProtection="1">
      <alignment horizontal="center" vertical="center" wrapText="1"/>
      <protection locked="0"/>
    </xf>
    <xf numFmtId="0" fontId="34" fillId="0" borderId="20" xfId="0" applyFont="1" applyBorder="1" applyAlignment="1" applyProtection="1">
      <alignment vertical="center" wrapText="1"/>
      <protection locked="0"/>
    </xf>
    <xf numFmtId="0" fontId="23" fillId="0" borderId="0" xfId="0" applyFont="1" applyAlignment="1" applyProtection="1">
      <alignment horizontal="center" vertical="center" wrapText="1"/>
      <protection locked="0"/>
    </xf>
    <xf numFmtId="0" fontId="23" fillId="0" borderId="0" xfId="0" applyFont="1" applyAlignment="1" applyProtection="1">
      <alignment vertical="center" wrapText="1"/>
      <protection locked="0"/>
    </xf>
    <xf numFmtId="0" fontId="23" fillId="0" borderId="0" xfId="0" applyFont="1" applyAlignment="1" applyProtection="1">
      <alignment vertical="center"/>
      <protection locked="0"/>
    </xf>
    <xf numFmtId="0" fontId="24" fillId="33" borderId="0" xfId="0" applyFont="1" applyFill="1" applyProtection="1">
      <alignment vertical="center"/>
      <protection locked="0"/>
    </xf>
    <xf numFmtId="0" fontId="24" fillId="34" borderId="0" xfId="0" applyFont="1" applyFill="1" applyProtection="1">
      <alignment vertical="center"/>
      <protection locked="0"/>
    </xf>
    <xf numFmtId="0" fontId="24" fillId="35" borderId="0" xfId="0" applyFont="1" applyFill="1" applyProtection="1">
      <alignment vertical="center"/>
      <protection locked="0"/>
    </xf>
    <xf numFmtId="0" fontId="24" fillId="36" borderId="0" xfId="0" applyFont="1" applyFill="1" applyProtection="1">
      <alignment vertical="center"/>
      <protection locked="0"/>
    </xf>
    <xf numFmtId="0" fontId="47" fillId="0" borderId="22" xfId="0" applyFont="1" applyFill="1" applyBorder="1" applyAlignment="1" applyProtection="1">
      <alignment horizontal="center" vertical="center" wrapText="1"/>
      <protection locked="0"/>
    </xf>
    <xf numFmtId="0" fontId="47" fillId="0" borderId="23" xfId="0" applyFont="1" applyFill="1" applyBorder="1" applyAlignment="1" applyProtection="1">
      <alignment horizontal="center" vertical="center"/>
      <protection locked="0"/>
    </xf>
    <xf numFmtId="0" fontId="47" fillId="0" borderId="24" xfId="0" applyFont="1" applyFill="1" applyBorder="1" applyAlignment="1" applyProtection="1">
      <alignment horizontal="center" vertical="center"/>
      <protection locked="0"/>
    </xf>
    <xf numFmtId="0" fontId="47" fillId="0" borderId="26" xfId="0" applyFont="1" applyFill="1" applyBorder="1" applyAlignment="1" applyProtection="1">
      <alignment horizontal="center" vertical="center"/>
      <protection locked="0"/>
    </xf>
    <xf numFmtId="0" fontId="47" fillId="0" borderId="25" xfId="0" applyFont="1" applyFill="1" applyBorder="1" applyAlignment="1" applyProtection="1">
      <alignment horizontal="center" vertical="center"/>
      <protection locked="0"/>
    </xf>
    <xf numFmtId="0" fontId="49" fillId="45" borderId="17" xfId="0" applyFont="1" applyFill="1" applyBorder="1" applyAlignment="1" applyProtection="1">
      <alignment horizontal="center" vertical="center" wrapText="1"/>
      <protection locked="0"/>
    </xf>
    <xf numFmtId="0" fontId="41" fillId="46" borderId="21" xfId="0" applyFont="1" applyFill="1" applyBorder="1" applyAlignment="1" applyProtection="1">
      <alignment horizontal="center" vertical="center" wrapText="1"/>
      <protection locked="0"/>
    </xf>
    <xf numFmtId="0" fontId="49" fillId="45" borderId="30" xfId="0" applyFont="1" applyFill="1" applyBorder="1" applyAlignment="1" applyProtection="1">
      <alignment horizontal="center" vertical="center" wrapText="1"/>
      <protection locked="0"/>
    </xf>
    <xf numFmtId="0" fontId="49" fillId="45" borderId="25" xfId="0" applyFont="1" applyFill="1" applyBorder="1" applyAlignment="1" applyProtection="1">
      <alignment horizontal="center" vertical="center" wrapText="1"/>
      <protection locked="0"/>
    </xf>
    <xf numFmtId="0" fontId="25" fillId="0" borderId="19" xfId="0" applyFont="1" applyFill="1" applyBorder="1" applyAlignment="1" applyProtection="1">
      <alignment horizontal="center" vertical="center" wrapText="1"/>
      <protection locked="0"/>
    </xf>
    <xf numFmtId="0" fontId="24" fillId="0" borderId="27" xfId="0" applyFont="1" applyBorder="1" applyAlignment="1" applyProtection="1">
      <alignment horizontal="left" vertical="center" wrapText="1" indent="1"/>
      <protection locked="0"/>
    </xf>
    <xf numFmtId="0" fontId="25" fillId="0" borderId="22" xfId="0" applyFont="1" applyFill="1" applyBorder="1" applyAlignment="1" applyProtection="1">
      <alignment horizontal="center" vertical="center" wrapText="1"/>
      <protection locked="0"/>
    </xf>
    <xf numFmtId="0" fontId="25" fillId="0" borderId="23" xfId="0" applyFont="1" applyFill="1" applyBorder="1" applyAlignment="1" applyProtection="1">
      <alignment horizontal="center" vertical="center"/>
      <protection locked="0"/>
    </xf>
    <xf numFmtId="0" fontId="25" fillId="0" borderId="24" xfId="0" applyFont="1" applyFill="1" applyBorder="1" applyAlignment="1" applyProtection="1">
      <alignment horizontal="center" vertical="center"/>
      <protection locked="0"/>
    </xf>
    <xf numFmtId="0" fontId="25" fillId="0" borderId="26" xfId="0" applyFont="1" applyFill="1" applyBorder="1" applyAlignment="1" applyProtection="1">
      <alignment horizontal="center" vertical="center"/>
      <protection locked="0"/>
    </xf>
    <xf numFmtId="0" fontId="25" fillId="0" borderId="25" xfId="0" applyFont="1" applyFill="1" applyBorder="1" applyAlignment="1" applyProtection="1">
      <alignment horizontal="center" vertical="center"/>
      <protection locked="0"/>
    </xf>
    <xf numFmtId="0" fontId="24" fillId="0" borderId="22" xfId="0" applyFont="1" applyBorder="1" applyAlignment="1" applyProtection="1">
      <alignment horizontal="left" vertical="center" wrapText="1" indent="1"/>
      <protection locked="0"/>
    </xf>
    <xf numFmtId="0" fontId="24" fillId="0" borderId="23" xfId="0" applyFont="1" applyBorder="1" applyAlignment="1" applyProtection="1">
      <alignment horizontal="center" vertical="center"/>
      <protection locked="0"/>
    </xf>
    <xf numFmtId="0" fontId="24" fillId="0" borderId="24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26" fillId="0" borderId="27" xfId="0" applyFont="1" applyFill="1" applyBorder="1" applyAlignment="1" applyProtection="1">
      <alignment horizontal="center" vertical="center" wrapText="1"/>
      <protection locked="0"/>
    </xf>
    <xf numFmtId="0" fontId="28" fillId="0" borderId="28" xfId="0" applyFont="1" applyFill="1" applyBorder="1" applyProtection="1">
      <alignment vertical="center"/>
      <protection locked="0"/>
    </xf>
    <xf numFmtId="0" fontId="28" fillId="0" borderId="29" xfId="0" applyFont="1" applyFill="1" applyBorder="1" applyProtection="1">
      <alignment vertical="center"/>
      <protection locked="0"/>
    </xf>
    <xf numFmtId="0" fontId="45" fillId="45" borderId="30" xfId="0" applyFont="1" applyFill="1" applyBorder="1" applyAlignment="1" applyProtection="1">
      <alignment horizontal="center" vertical="center" wrapText="1"/>
      <protection locked="0"/>
    </xf>
    <xf numFmtId="0" fontId="28" fillId="0" borderId="31" xfId="0" applyFont="1" applyFill="1" applyBorder="1" applyProtection="1">
      <alignment vertical="center"/>
      <protection locked="0"/>
    </xf>
    <xf numFmtId="0" fontId="28" fillId="0" borderId="30" xfId="0" applyFont="1" applyFill="1" applyBorder="1" applyProtection="1">
      <alignment vertical="center"/>
      <protection locked="0"/>
    </xf>
    <xf numFmtId="0" fontId="26" fillId="0" borderId="27" xfId="0" applyFont="1" applyBorder="1" applyAlignment="1" applyProtection="1">
      <alignment horizontal="left" vertical="center" wrapText="1" indent="1"/>
      <protection locked="0"/>
    </xf>
    <xf numFmtId="0" fontId="26" fillId="0" borderId="43" xfId="0" applyFont="1" applyBorder="1" applyAlignment="1" applyProtection="1">
      <alignment horizontal="left" vertical="center" wrapText="1" indent="1"/>
      <protection locked="0"/>
    </xf>
    <xf numFmtId="0" fontId="22" fillId="0" borderId="28" xfId="0" applyFont="1" applyBorder="1" applyProtection="1">
      <alignment vertical="center"/>
      <protection locked="0"/>
    </xf>
    <xf numFmtId="0" fontId="22" fillId="0" borderId="29" xfId="0" applyFont="1" applyBorder="1" applyProtection="1">
      <alignment vertical="center"/>
      <protection locked="0"/>
    </xf>
    <xf numFmtId="0" fontId="27" fillId="37" borderId="30" xfId="0" applyFont="1" applyFill="1" applyBorder="1" applyAlignment="1" applyProtection="1">
      <alignment horizontal="center" vertical="center" wrapText="1"/>
      <protection locked="0"/>
    </xf>
    <xf numFmtId="0" fontId="22" fillId="0" borderId="31" xfId="0" applyFont="1" applyBorder="1" applyProtection="1">
      <alignment vertical="center"/>
      <protection locked="0"/>
    </xf>
    <xf numFmtId="0" fontId="22" fillId="0" borderId="30" xfId="0" applyFont="1" applyBorder="1" applyProtection="1">
      <alignment vertical="center"/>
      <protection locked="0"/>
    </xf>
    <xf numFmtId="0" fontId="26" fillId="0" borderId="19" xfId="0" applyFont="1" applyFill="1" applyBorder="1" applyAlignment="1" applyProtection="1">
      <alignment horizontal="center" vertical="center" wrapText="1"/>
      <protection locked="0"/>
    </xf>
    <xf numFmtId="0" fontId="28" fillId="0" borderId="20" xfId="0" applyFont="1" applyFill="1" applyBorder="1" applyProtection="1">
      <alignment vertical="center"/>
      <protection locked="0"/>
    </xf>
    <xf numFmtId="0" fontId="28" fillId="0" borderId="13" xfId="0" applyFont="1" applyFill="1" applyBorder="1" applyProtection="1">
      <alignment vertical="center"/>
      <protection locked="0"/>
    </xf>
    <xf numFmtId="0" fontId="45" fillId="45" borderId="21" xfId="0" applyFont="1" applyFill="1" applyBorder="1" applyAlignment="1" applyProtection="1">
      <alignment horizontal="center" vertical="center" wrapText="1"/>
      <protection locked="0"/>
    </xf>
    <xf numFmtId="0" fontId="28" fillId="0" borderId="11" xfId="0" applyFont="1" applyFill="1" applyBorder="1" applyProtection="1">
      <alignment vertical="center"/>
      <protection locked="0"/>
    </xf>
    <xf numFmtId="0" fontId="28" fillId="0" borderId="21" xfId="0" applyFont="1" applyFill="1" applyBorder="1" applyProtection="1">
      <alignment vertical="center"/>
      <protection locked="0"/>
    </xf>
    <xf numFmtId="0" fontId="26" fillId="0" borderId="19" xfId="0" applyFont="1" applyBorder="1" applyAlignment="1" applyProtection="1">
      <alignment horizontal="left" vertical="center" wrapText="1" indent="1"/>
      <protection locked="0"/>
    </xf>
    <xf numFmtId="0" fontId="26" fillId="0" borderId="36" xfId="0" applyFont="1" applyBorder="1" applyAlignment="1" applyProtection="1">
      <alignment horizontal="left" vertical="center" wrapText="1" indent="1"/>
      <protection locked="0"/>
    </xf>
    <xf numFmtId="0" fontId="22" fillId="0" borderId="20" xfId="0" applyFont="1" applyBorder="1" applyProtection="1">
      <alignment vertical="center"/>
      <protection locked="0"/>
    </xf>
    <xf numFmtId="0" fontId="22" fillId="0" borderId="13" xfId="0" applyFont="1" applyBorder="1" applyProtection="1">
      <alignment vertical="center"/>
      <protection locked="0"/>
    </xf>
    <xf numFmtId="0" fontId="28" fillId="0" borderId="20" xfId="0" applyFont="1" applyFill="1" applyBorder="1" applyAlignment="1" applyProtection="1">
      <alignment horizontal="right" vertical="center"/>
      <protection locked="0"/>
    </xf>
    <xf numFmtId="0" fontId="26" fillId="0" borderId="53" xfId="0" applyFont="1" applyBorder="1" applyAlignment="1" applyProtection="1">
      <alignment horizontal="left" vertical="center" wrapText="1" indent="1"/>
      <protection locked="0"/>
    </xf>
    <xf numFmtId="0" fontId="26" fillId="0" borderId="66" xfId="0" applyFont="1" applyBorder="1" applyAlignment="1" applyProtection="1">
      <alignment horizontal="left" vertical="center" wrapText="1" indent="1"/>
      <protection locked="0"/>
    </xf>
    <xf numFmtId="0" fontId="22" fillId="0" borderId="58" xfId="0" applyFont="1" applyBorder="1" applyProtection="1">
      <alignment vertical="center"/>
      <protection locked="0"/>
    </xf>
    <xf numFmtId="0" fontId="22" fillId="0" borderId="67" xfId="0" applyFont="1" applyBorder="1" applyProtection="1">
      <alignment vertical="center"/>
      <protection locked="0"/>
    </xf>
    <xf numFmtId="0" fontId="27" fillId="37" borderId="25" xfId="0" applyFont="1" applyFill="1" applyBorder="1" applyAlignment="1" applyProtection="1">
      <alignment horizontal="center" vertical="center" wrapText="1"/>
      <protection locked="0"/>
    </xf>
    <xf numFmtId="0" fontId="22" fillId="0" borderId="68" xfId="0" applyFont="1" applyBorder="1" applyProtection="1">
      <alignment vertical="center"/>
      <protection locked="0"/>
    </xf>
    <xf numFmtId="0" fontId="22" fillId="0" borderId="46" xfId="0" applyFont="1" applyBorder="1" applyProtection="1">
      <alignment vertical="center"/>
      <protection locked="0"/>
    </xf>
    <xf numFmtId="0" fontId="28" fillId="0" borderId="21" xfId="0" applyFont="1" applyFill="1" applyBorder="1" applyAlignment="1" applyProtection="1">
      <alignment horizontal="center" vertical="center" wrapText="1"/>
      <protection locked="0"/>
    </xf>
    <xf numFmtId="0" fontId="28" fillId="46" borderId="21" xfId="0" applyFont="1" applyFill="1" applyBorder="1" applyAlignment="1" applyProtection="1">
      <alignment horizontal="center" vertical="center" wrapText="1"/>
      <protection locked="0"/>
    </xf>
    <xf numFmtId="0" fontId="26" fillId="0" borderId="32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Protection="1">
      <alignment vertical="center"/>
      <protection locked="0"/>
    </xf>
    <xf numFmtId="0" fontId="28" fillId="0" borderId="12" xfId="0" applyFont="1" applyFill="1" applyBorder="1" applyProtection="1">
      <alignment vertical="center"/>
      <protection locked="0"/>
    </xf>
    <xf numFmtId="0" fontId="28" fillId="46" borderId="34" xfId="0" applyFont="1" applyFill="1" applyBorder="1" applyAlignment="1" applyProtection="1">
      <alignment horizontal="center" vertical="center" wrapText="1"/>
      <protection locked="0"/>
    </xf>
    <xf numFmtId="0" fontId="28" fillId="0" borderId="33" xfId="0" applyFont="1" applyFill="1" applyBorder="1" applyProtection="1">
      <alignment vertical="center"/>
      <protection locked="0"/>
    </xf>
    <xf numFmtId="0" fontId="28" fillId="0" borderId="34" xfId="0" applyFont="1" applyFill="1" applyBorder="1" applyProtection="1">
      <alignment vertical="center"/>
      <protection locked="0"/>
    </xf>
    <xf numFmtId="0" fontId="28" fillId="0" borderId="23" xfId="0" applyFont="1" applyFill="1" applyBorder="1" applyProtection="1">
      <alignment vertical="center"/>
      <protection locked="0"/>
    </xf>
    <xf numFmtId="0" fontId="28" fillId="0" borderId="24" xfId="0" applyFont="1" applyFill="1" applyBorder="1" applyProtection="1">
      <alignment vertical="center"/>
      <protection locked="0"/>
    </xf>
    <xf numFmtId="0" fontId="28" fillId="46" borderId="25" xfId="0" applyFont="1" applyFill="1" applyBorder="1" applyAlignment="1" applyProtection="1">
      <alignment horizontal="center" vertical="center" wrapText="1"/>
      <protection locked="0"/>
    </xf>
    <xf numFmtId="0" fontId="48" fillId="0" borderId="70" xfId="0" applyFont="1" applyFill="1" applyBorder="1" applyAlignment="1" applyProtection="1">
      <alignment horizontal="left" vertical="center" wrapText="1"/>
      <protection locked="0"/>
    </xf>
    <xf numFmtId="0" fontId="48" fillId="0" borderId="19" xfId="0" applyFont="1" applyFill="1" applyBorder="1" applyAlignment="1" applyProtection="1">
      <alignment horizontal="left" vertical="center" wrapText="1"/>
      <protection locked="0"/>
    </xf>
    <xf numFmtId="0" fontId="48" fillId="0" borderId="14" xfId="0" applyFont="1" applyFill="1" applyBorder="1" applyAlignment="1" applyProtection="1">
      <alignment horizontal="left" vertical="center" wrapText="1"/>
      <protection locked="0"/>
    </xf>
    <xf numFmtId="0" fontId="48" fillId="0" borderId="59" xfId="0" applyFont="1" applyFill="1" applyBorder="1" applyAlignment="1" applyProtection="1">
      <alignment horizontal="left" vertical="center" wrapText="1"/>
      <protection locked="0"/>
    </xf>
    <xf numFmtId="0" fontId="48" fillId="0" borderId="32" xfId="0" applyFont="1" applyFill="1" applyBorder="1" applyAlignment="1" applyProtection="1">
      <alignment horizontal="left" vertical="center" wrapText="1"/>
      <protection locked="0"/>
    </xf>
    <xf numFmtId="0" fontId="48" fillId="0" borderId="22" xfId="0" applyFont="1" applyFill="1" applyBorder="1" applyAlignment="1" applyProtection="1">
      <alignment horizontal="left" vertical="center" wrapText="1"/>
      <protection locked="0"/>
    </xf>
    <xf numFmtId="0" fontId="48" fillId="0" borderId="27" xfId="0" applyFont="1" applyFill="1" applyBorder="1" applyAlignment="1" applyProtection="1">
      <alignment horizontal="left" vertical="center" wrapText="1"/>
      <protection locked="0"/>
    </xf>
    <xf numFmtId="0" fontId="48" fillId="0" borderId="53" xfId="0" applyFont="1" applyFill="1" applyBorder="1" applyAlignment="1" applyProtection="1">
      <alignment horizontal="left" vertical="center" wrapText="1"/>
      <protection locked="0"/>
    </xf>
    <xf numFmtId="0" fontId="48" fillId="0" borderId="36" xfId="0" applyFont="1" applyFill="1" applyBorder="1" applyAlignment="1" applyProtection="1">
      <alignment horizontal="left" vertical="center" wrapText="1"/>
      <protection locked="0"/>
    </xf>
    <xf numFmtId="0" fontId="47" fillId="0" borderId="19" xfId="0" applyFont="1" applyFill="1" applyBorder="1" applyAlignment="1" applyProtection="1">
      <alignment horizontal="center" vertical="center" wrapText="1"/>
      <protection locked="0"/>
    </xf>
    <xf numFmtId="0" fontId="54" fillId="0" borderId="20" xfId="47" applyFont="1" applyFill="1" applyBorder="1" applyAlignment="1">
      <alignment vertical="center"/>
    </xf>
    <xf numFmtId="0" fontId="54" fillId="0" borderId="20" xfId="0" applyFont="1" applyFill="1" applyBorder="1" applyAlignment="1">
      <alignment vertical="center"/>
    </xf>
    <xf numFmtId="0" fontId="54" fillId="0" borderId="23" xfId="0" applyFont="1" applyFill="1" applyBorder="1" applyAlignment="1">
      <alignment vertical="center"/>
    </xf>
    <xf numFmtId="176" fontId="41" fillId="0" borderId="18" xfId="0" applyNumberFormat="1" applyFont="1" applyFill="1" applyBorder="1" applyProtection="1">
      <alignment vertical="center"/>
      <protection locked="0"/>
    </xf>
    <xf numFmtId="176" fontId="41" fillId="0" borderId="16" xfId="0" applyNumberFormat="1" applyFont="1" applyFill="1" applyBorder="1" applyProtection="1">
      <alignment vertical="center"/>
      <protection locked="0"/>
    </xf>
    <xf numFmtId="176" fontId="41" fillId="0" borderId="17" xfId="0" applyNumberFormat="1" applyFont="1" applyFill="1" applyBorder="1" applyProtection="1">
      <alignment vertical="center"/>
      <protection locked="0"/>
    </xf>
    <xf numFmtId="176" fontId="41" fillId="0" borderId="11" xfId="0" applyNumberFormat="1" applyFont="1" applyFill="1" applyBorder="1" applyProtection="1">
      <alignment vertical="center"/>
      <protection locked="0"/>
    </xf>
    <xf numFmtId="176" fontId="41" fillId="0" borderId="13" xfId="0" applyNumberFormat="1" applyFont="1" applyFill="1" applyBorder="1" applyProtection="1">
      <alignment vertical="center"/>
      <protection locked="0"/>
    </xf>
    <xf numFmtId="176" fontId="41" fillId="0" borderId="21" xfId="0" applyNumberFormat="1" applyFont="1" applyFill="1" applyBorder="1" applyProtection="1">
      <alignment vertical="center"/>
      <protection locked="0"/>
    </xf>
    <xf numFmtId="176" fontId="41" fillId="0" borderId="26" xfId="0" applyNumberFormat="1" applyFont="1" applyFill="1" applyBorder="1" applyProtection="1">
      <alignment vertical="center"/>
      <protection locked="0"/>
    </xf>
    <xf numFmtId="176" fontId="41" fillId="0" borderId="24" xfId="0" applyNumberFormat="1" applyFont="1" applyFill="1" applyBorder="1" applyProtection="1">
      <alignment vertical="center"/>
      <protection locked="0"/>
    </xf>
    <xf numFmtId="176" fontId="41" fillId="0" borderId="25" xfId="0" applyNumberFormat="1" applyFont="1" applyFill="1" applyBorder="1" applyProtection="1">
      <alignment vertical="center"/>
      <protection locked="0"/>
    </xf>
    <xf numFmtId="176" fontId="41" fillId="0" borderId="31" xfId="0" applyNumberFormat="1" applyFont="1" applyFill="1" applyBorder="1" applyProtection="1">
      <alignment vertical="center"/>
      <protection locked="0"/>
    </xf>
    <xf numFmtId="176" fontId="41" fillId="0" borderId="29" xfId="0" applyNumberFormat="1" applyFont="1" applyFill="1" applyBorder="1" applyProtection="1">
      <alignment vertical="center"/>
      <protection locked="0"/>
    </xf>
    <xf numFmtId="176" fontId="41" fillId="0" borderId="30" xfId="0" applyNumberFormat="1" applyFont="1" applyFill="1" applyBorder="1" applyProtection="1">
      <alignment vertical="center"/>
      <protection locked="0"/>
    </xf>
    <xf numFmtId="176" fontId="41" fillId="0" borderId="68" xfId="0" applyNumberFormat="1" applyFont="1" applyFill="1" applyBorder="1" applyProtection="1">
      <alignment vertical="center"/>
      <protection locked="0"/>
    </xf>
    <xf numFmtId="176" fontId="41" fillId="0" borderId="67" xfId="0" applyNumberFormat="1" applyFont="1" applyFill="1" applyBorder="1" applyProtection="1">
      <alignment vertical="center"/>
      <protection locked="0"/>
    </xf>
    <xf numFmtId="176" fontId="41" fillId="0" borderId="46" xfId="0" applyNumberFormat="1" applyFont="1" applyFill="1" applyBorder="1" applyProtection="1">
      <alignment vertical="center"/>
      <protection locked="0"/>
    </xf>
    <xf numFmtId="176" fontId="41" fillId="0" borderId="15" xfId="0" applyNumberFormat="1" applyFont="1" applyFill="1" applyBorder="1" applyProtection="1">
      <alignment vertical="center"/>
    </xf>
    <xf numFmtId="176" fontId="41" fillId="0" borderId="16" xfId="0" applyNumberFormat="1" applyFont="1" applyFill="1" applyBorder="1" applyProtection="1">
      <alignment vertical="center"/>
    </xf>
    <xf numFmtId="176" fontId="41" fillId="0" borderId="17" xfId="0" applyNumberFormat="1" applyFont="1" applyFill="1" applyBorder="1" applyProtection="1">
      <alignment vertical="center"/>
    </xf>
    <xf numFmtId="176" fontId="41" fillId="0" borderId="20" xfId="0" applyNumberFormat="1" applyFont="1" applyFill="1" applyBorder="1" applyProtection="1">
      <alignment vertical="center"/>
    </xf>
    <xf numFmtId="176" fontId="41" fillId="0" borderId="13" xfId="0" applyNumberFormat="1" applyFont="1" applyFill="1" applyBorder="1" applyProtection="1">
      <alignment vertical="center"/>
    </xf>
    <xf numFmtId="176" fontId="41" fillId="0" borderId="21" xfId="0" applyNumberFormat="1" applyFont="1" applyFill="1" applyBorder="1" applyProtection="1">
      <alignment vertical="center"/>
    </xf>
    <xf numFmtId="176" fontId="53" fillId="0" borderId="16" xfId="0" applyNumberFormat="1" applyFont="1" applyBorder="1" applyProtection="1">
      <alignment vertical="center"/>
      <protection locked="0"/>
    </xf>
    <xf numFmtId="176" fontId="53" fillId="0" borderId="17" xfId="0" applyNumberFormat="1" applyFont="1" applyBorder="1" applyProtection="1">
      <alignment vertical="center"/>
      <protection locked="0"/>
    </xf>
    <xf numFmtId="176" fontId="53" fillId="0" borderId="13" xfId="0" applyNumberFormat="1" applyFont="1" applyBorder="1" applyProtection="1">
      <alignment vertical="center"/>
      <protection locked="0"/>
    </xf>
    <xf numFmtId="176" fontId="53" fillId="0" borderId="21" xfId="0" applyNumberFormat="1" applyFont="1" applyBorder="1" applyProtection="1">
      <alignment vertical="center"/>
      <protection locked="0"/>
    </xf>
    <xf numFmtId="176" fontId="53" fillId="0" borderId="24" xfId="0" applyNumberFormat="1" applyFont="1" applyBorder="1" applyProtection="1">
      <alignment vertical="center"/>
      <protection locked="0"/>
    </xf>
    <xf numFmtId="176" fontId="53" fillId="0" borderId="25" xfId="0" applyNumberFormat="1" applyFont="1" applyBorder="1" applyProtection="1">
      <alignment vertical="center"/>
      <protection locked="0"/>
    </xf>
    <xf numFmtId="176" fontId="41" fillId="0" borderId="15" xfId="0" applyNumberFormat="1" applyFont="1" applyFill="1" applyBorder="1" applyAlignment="1" applyProtection="1">
      <alignment vertical="center"/>
      <protection locked="0"/>
    </xf>
    <xf numFmtId="176" fontId="41" fillId="0" borderId="16" xfId="0" applyNumberFormat="1" applyFont="1" applyFill="1" applyBorder="1" applyAlignment="1" applyProtection="1">
      <alignment vertical="center"/>
      <protection locked="0"/>
    </xf>
    <xf numFmtId="176" fontId="41" fillId="0" borderId="20" xfId="0" applyNumberFormat="1" applyFont="1" applyFill="1" applyBorder="1" applyAlignment="1" applyProtection="1">
      <alignment vertical="center"/>
      <protection locked="0"/>
    </xf>
    <xf numFmtId="176" fontId="41" fillId="0" borderId="13" xfId="0" applyNumberFormat="1" applyFont="1" applyFill="1" applyBorder="1" applyAlignment="1" applyProtection="1">
      <alignment vertical="center"/>
      <protection locked="0"/>
    </xf>
    <xf numFmtId="176" fontId="41" fillId="0" borderId="23" xfId="0" applyNumberFormat="1" applyFont="1" applyFill="1" applyBorder="1" applyAlignment="1" applyProtection="1">
      <alignment vertical="center"/>
      <protection locked="0"/>
    </xf>
    <xf numFmtId="176" fontId="41" fillId="0" borderId="24" xfId="0" applyNumberFormat="1" applyFont="1" applyFill="1" applyBorder="1" applyAlignment="1" applyProtection="1">
      <alignment vertical="center"/>
      <protection locked="0"/>
    </xf>
    <xf numFmtId="176" fontId="41" fillId="0" borderId="28" xfId="0" applyNumberFormat="1" applyFont="1" applyFill="1" applyBorder="1" applyAlignment="1" applyProtection="1">
      <alignment vertical="center"/>
      <protection locked="0"/>
    </xf>
    <xf numFmtId="176" fontId="41" fillId="0" borderId="29" xfId="0" applyNumberFormat="1" applyFont="1" applyFill="1" applyBorder="1" applyAlignment="1" applyProtection="1">
      <alignment vertical="center"/>
      <protection locked="0"/>
    </xf>
    <xf numFmtId="176" fontId="41" fillId="0" borderId="58" xfId="0" applyNumberFormat="1" applyFont="1" applyFill="1" applyBorder="1" applyAlignment="1" applyProtection="1">
      <alignment vertical="center"/>
      <protection locked="0"/>
    </xf>
    <xf numFmtId="176" fontId="41" fillId="0" borderId="67" xfId="0" applyNumberFormat="1" applyFont="1" applyFill="1" applyBorder="1" applyAlignment="1" applyProtection="1">
      <alignment vertical="center"/>
      <protection locked="0"/>
    </xf>
    <xf numFmtId="176" fontId="41" fillId="0" borderId="13" xfId="0" applyNumberFormat="1" applyFont="1" applyFill="1" applyBorder="1" applyAlignment="1" applyProtection="1">
      <alignment vertical="center"/>
    </xf>
    <xf numFmtId="176" fontId="53" fillId="0" borderId="16" xfId="0" applyNumberFormat="1" applyFont="1" applyFill="1" applyBorder="1" applyAlignment="1">
      <alignment vertical="center"/>
    </xf>
    <xf numFmtId="176" fontId="53" fillId="0" borderId="13" xfId="0" applyNumberFormat="1" applyFont="1" applyFill="1" applyBorder="1" applyAlignment="1">
      <alignment vertical="center"/>
    </xf>
    <xf numFmtId="176" fontId="53" fillId="0" borderId="24" xfId="0" applyNumberFormat="1" applyFont="1" applyFill="1" applyBorder="1" applyAlignment="1">
      <alignment vertical="center"/>
    </xf>
    <xf numFmtId="0" fontId="23" fillId="0" borderId="0" xfId="0" applyFont="1" applyProtection="1">
      <alignment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55" fillId="39" borderId="0" xfId="0" applyFont="1" applyFill="1" applyBorder="1" applyAlignment="1" applyProtection="1">
      <alignment horizontal="center" vertical="center" wrapText="1"/>
      <protection locked="0"/>
    </xf>
    <xf numFmtId="0" fontId="58" fillId="39" borderId="63" xfId="0" applyFont="1" applyFill="1" applyBorder="1" applyAlignment="1" applyProtection="1">
      <alignment horizontal="center" vertical="center" wrapText="1"/>
      <protection locked="0"/>
    </xf>
    <xf numFmtId="0" fontId="58" fillId="39" borderId="64" xfId="0" applyFont="1" applyFill="1" applyBorder="1" applyAlignment="1" applyProtection="1">
      <alignment horizontal="center" vertical="center" wrapText="1"/>
      <protection locked="0"/>
    </xf>
    <xf numFmtId="0" fontId="58" fillId="39" borderId="60" xfId="0" applyFont="1" applyFill="1" applyBorder="1" applyAlignment="1" applyProtection="1">
      <alignment horizontal="center" vertical="center" wrapText="1"/>
      <protection locked="0"/>
    </xf>
    <xf numFmtId="0" fontId="59" fillId="0" borderId="0" xfId="0" applyFont="1" applyAlignment="1" applyProtection="1">
      <alignment vertical="center"/>
      <protection locked="0"/>
    </xf>
    <xf numFmtId="176" fontId="60" fillId="0" borderId="13" xfId="0" applyNumberFormat="1" applyFont="1" applyBorder="1" applyAlignment="1">
      <alignment vertical="center"/>
    </xf>
    <xf numFmtId="176" fontId="60" fillId="0" borderId="13" xfId="0" applyNumberFormat="1" applyFont="1" applyBorder="1" applyAlignment="1" applyProtection="1">
      <alignment vertical="center"/>
    </xf>
    <xf numFmtId="0" fontId="61" fillId="39" borderId="0" xfId="0" applyFont="1" applyFill="1" applyBorder="1" applyAlignment="1" applyProtection="1">
      <alignment horizontal="center" vertical="center"/>
      <protection locked="0"/>
    </xf>
    <xf numFmtId="0" fontId="65" fillId="0" borderId="0" xfId="0" applyFont="1" applyBorder="1" applyAlignment="1" applyProtection="1">
      <alignment horizontal="center" vertical="center"/>
      <protection locked="0"/>
    </xf>
    <xf numFmtId="0" fontId="58" fillId="0" borderId="0" xfId="0" applyFont="1" applyProtection="1">
      <alignment vertical="center"/>
      <protection locked="0"/>
    </xf>
    <xf numFmtId="176" fontId="60" fillId="0" borderId="16" xfId="0" applyNumberFormat="1" applyFont="1" applyBorder="1" applyAlignment="1">
      <alignment vertical="center"/>
    </xf>
    <xf numFmtId="176" fontId="60" fillId="0" borderId="16" xfId="0" applyNumberFormat="1" applyFont="1" applyBorder="1" applyAlignment="1" applyProtection="1">
      <alignment vertical="center"/>
    </xf>
    <xf numFmtId="0" fontId="70" fillId="0" borderId="0" xfId="0" applyFont="1" applyAlignment="1" applyProtection="1">
      <alignment horizontal="center" vertical="center"/>
      <protection locked="0"/>
    </xf>
    <xf numFmtId="0" fontId="60" fillId="0" borderId="13" xfId="0" applyFont="1" applyBorder="1">
      <alignment vertical="center"/>
    </xf>
    <xf numFmtId="0" fontId="49" fillId="45" borderId="35" xfId="0" applyFont="1" applyFill="1" applyBorder="1" applyAlignment="1" applyProtection="1">
      <alignment horizontal="center" vertical="center" wrapText="1"/>
      <protection locked="0"/>
    </xf>
    <xf numFmtId="0" fontId="54" fillId="0" borderId="15" xfId="0" applyFont="1" applyFill="1" applyBorder="1" applyAlignment="1">
      <alignment vertical="center"/>
    </xf>
    <xf numFmtId="0" fontId="60" fillId="0" borderId="16" xfId="0" applyFont="1" applyBorder="1">
      <alignment vertical="center"/>
    </xf>
    <xf numFmtId="0" fontId="60" fillId="0" borderId="17" xfId="0" applyFont="1" applyBorder="1">
      <alignment vertical="center"/>
    </xf>
    <xf numFmtId="0" fontId="60" fillId="0" borderId="21" xfId="0" applyFont="1" applyBorder="1">
      <alignment vertical="center"/>
    </xf>
    <xf numFmtId="0" fontId="60" fillId="0" borderId="24" xfId="0" applyFont="1" applyBorder="1">
      <alignment vertical="center"/>
    </xf>
    <xf numFmtId="0" fontId="60" fillId="0" borderId="25" xfId="0" applyFont="1" applyBorder="1">
      <alignment vertical="center"/>
    </xf>
    <xf numFmtId="176" fontId="53" fillId="0" borderId="15" xfId="0" applyNumberFormat="1" applyFont="1" applyBorder="1" applyProtection="1">
      <alignment vertical="center"/>
      <protection locked="0"/>
    </xf>
    <xf numFmtId="176" fontId="53" fillId="0" borderId="20" xfId="0" applyNumberFormat="1" applyFont="1" applyBorder="1" applyProtection="1">
      <alignment vertical="center"/>
      <protection locked="0"/>
    </xf>
    <xf numFmtId="176" fontId="53" fillId="0" borderId="23" xfId="0" applyNumberFormat="1" applyFont="1" applyBorder="1" applyProtection="1">
      <alignment vertical="center"/>
      <protection locked="0"/>
    </xf>
    <xf numFmtId="176" fontId="53" fillId="0" borderId="17" xfId="0" applyNumberFormat="1" applyFont="1" applyFill="1" applyBorder="1" applyAlignment="1">
      <alignment vertical="center"/>
    </xf>
    <xf numFmtId="176" fontId="53" fillId="0" borderId="21" xfId="0" applyNumberFormat="1" applyFont="1" applyFill="1" applyBorder="1" applyAlignment="1">
      <alignment vertical="center"/>
    </xf>
    <xf numFmtId="176" fontId="53" fillId="0" borderId="25" xfId="0" applyNumberFormat="1" applyFont="1" applyFill="1" applyBorder="1" applyAlignment="1">
      <alignment vertical="center"/>
    </xf>
    <xf numFmtId="0" fontId="41" fillId="47" borderId="73" xfId="0" applyFont="1" applyFill="1" applyBorder="1" applyAlignment="1" applyProtection="1">
      <alignment horizontal="center" vertical="center" wrapText="1"/>
      <protection locked="0"/>
    </xf>
    <xf numFmtId="0" fontId="41" fillId="47" borderId="74" xfId="0" applyFont="1" applyFill="1" applyBorder="1" applyAlignment="1" applyProtection="1">
      <alignment horizontal="center" vertical="center" wrapText="1"/>
      <protection locked="0"/>
    </xf>
    <xf numFmtId="0" fontId="41" fillId="46" borderId="73" xfId="0" applyFont="1" applyFill="1" applyBorder="1" applyAlignment="1" applyProtection="1">
      <alignment horizontal="center" vertical="center" wrapText="1"/>
      <protection locked="0"/>
    </xf>
    <xf numFmtId="0" fontId="41" fillId="46" borderId="74" xfId="0" applyFont="1" applyFill="1" applyBorder="1" applyAlignment="1" applyProtection="1">
      <alignment horizontal="center" vertical="center" wrapText="1"/>
      <protection locked="0"/>
    </xf>
    <xf numFmtId="0" fontId="41" fillId="46" borderId="75" xfId="0" applyFont="1" applyFill="1" applyBorder="1" applyAlignment="1" applyProtection="1">
      <alignment horizontal="center" vertical="center" wrapText="1"/>
      <protection locked="0"/>
    </xf>
    <xf numFmtId="0" fontId="41" fillId="46" borderId="35" xfId="0" applyFont="1" applyFill="1" applyBorder="1" applyAlignment="1" applyProtection="1">
      <alignment horizontal="center" vertical="center" wrapText="1"/>
      <protection locked="0"/>
    </xf>
    <xf numFmtId="0" fontId="41" fillId="46" borderId="76" xfId="0" applyFont="1" applyFill="1" applyBorder="1" applyAlignment="1" applyProtection="1">
      <alignment horizontal="center" vertical="center" wrapText="1"/>
      <protection locked="0"/>
    </xf>
    <xf numFmtId="176" fontId="60" fillId="0" borderId="17" xfId="0" applyNumberFormat="1" applyFont="1" applyBorder="1" applyAlignment="1" applyProtection="1">
      <alignment vertical="center"/>
    </xf>
    <xf numFmtId="176" fontId="41" fillId="0" borderId="21" xfId="0" applyNumberFormat="1" applyFont="1" applyFill="1" applyBorder="1" applyAlignment="1" applyProtection="1">
      <alignment vertical="center"/>
    </xf>
    <xf numFmtId="0" fontId="49" fillId="45" borderId="75" xfId="0" applyFont="1" applyFill="1" applyBorder="1" applyAlignment="1" applyProtection="1">
      <alignment horizontal="center" vertical="center" wrapText="1"/>
      <protection locked="0"/>
    </xf>
    <xf numFmtId="0" fontId="49" fillId="45" borderId="77" xfId="0" applyFont="1" applyFill="1" applyBorder="1" applyAlignment="1" applyProtection="1">
      <alignment horizontal="center" vertical="center" wrapText="1"/>
      <protection locked="0"/>
    </xf>
    <xf numFmtId="0" fontId="40" fillId="38" borderId="65" xfId="0" applyFont="1" applyFill="1" applyBorder="1" applyAlignment="1" applyProtection="1">
      <alignment horizontal="center" vertical="center"/>
      <protection locked="0"/>
    </xf>
    <xf numFmtId="0" fontId="48" fillId="0" borderId="78" xfId="0" applyFont="1" applyFill="1" applyBorder="1" applyAlignment="1" applyProtection="1">
      <alignment horizontal="left" vertical="center" wrapText="1"/>
      <protection locked="0"/>
    </xf>
    <xf numFmtId="176" fontId="60" fillId="0" borderId="12" xfId="0" applyNumberFormat="1" applyFont="1" applyBorder="1" applyAlignment="1">
      <alignment vertical="center"/>
    </xf>
    <xf numFmtId="176" fontId="60" fillId="0" borderId="34" xfId="0" applyNumberFormat="1" applyFont="1" applyBorder="1" applyAlignment="1">
      <alignment vertical="center"/>
    </xf>
    <xf numFmtId="176" fontId="41" fillId="0" borderId="57" xfId="0" applyNumberFormat="1" applyFont="1" applyFill="1" applyBorder="1" applyProtection="1">
      <alignment vertical="center"/>
    </xf>
    <xf numFmtId="176" fontId="41" fillId="0" borderId="12" xfId="0" applyNumberFormat="1" applyFont="1" applyFill="1" applyBorder="1" applyProtection="1">
      <alignment vertical="center"/>
    </xf>
    <xf numFmtId="176" fontId="41" fillId="0" borderId="34" xfId="0" applyNumberFormat="1" applyFont="1" applyFill="1" applyBorder="1" applyProtection="1">
      <alignment vertical="center"/>
    </xf>
    <xf numFmtId="0" fontId="54" fillId="0" borderId="28" xfId="47" applyFont="1" applyFill="1" applyBorder="1" applyAlignment="1">
      <alignment vertical="center"/>
    </xf>
    <xf numFmtId="176" fontId="53" fillId="0" borderId="29" xfId="0" applyNumberFormat="1" applyFont="1" applyFill="1" applyBorder="1" applyAlignment="1">
      <alignment vertical="center"/>
    </xf>
    <xf numFmtId="176" fontId="53" fillId="0" borderId="30" xfId="0" applyNumberFormat="1" applyFont="1" applyFill="1" applyBorder="1" applyAlignment="1">
      <alignment vertical="center"/>
    </xf>
    <xf numFmtId="0" fontId="41" fillId="46" borderId="79" xfId="0" applyFont="1" applyFill="1" applyBorder="1" applyAlignment="1" applyProtection="1">
      <alignment horizontal="center" vertical="center" wrapText="1"/>
      <protection locked="0"/>
    </xf>
    <xf numFmtId="176" fontId="53" fillId="0" borderId="28" xfId="0" applyNumberFormat="1" applyFont="1" applyBorder="1" applyProtection="1">
      <alignment vertical="center"/>
      <protection locked="0"/>
    </xf>
    <xf numFmtId="176" fontId="53" fillId="0" borderId="29" xfId="0" applyNumberFormat="1" applyFont="1" applyBorder="1" applyProtection="1">
      <alignment vertical="center"/>
      <protection locked="0"/>
    </xf>
    <xf numFmtId="176" fontId="53" fillId="0" borderId="30" xfId="0" applyNumberFormat="1" applyFont="1" applyBorder="1" applyProtection="1">
      <alignment vertical="center"/>
      <protection locked="0"/>
    </xf>
    <xf numFmtId="0" fontId="54" fillId="0" borderId="56" xfId="0" applyFont="1" applyFill="1" applyBorder="1" applyAlignment="1">
      <alignment vertical="center"/>
    </xf>
    <xf numFmtId="0" fontId="41" fillId="46" borderId="80" xfId="0" applyFont="1" applyFill="1" applyBorder="1" applyAlignment="1" applyProtection="1">
      <alignment horizontal="center" vertical="center" wrapText="1"/>
      <protection locked="0"/>
    </xf>
    <xf numFmtId="176" fontId="53" fillId="0" borderId="56" xfId="0" applyNumberFormat="1" applyFont="1" applyBorder="1" applyProtection="1">
      <alignment vertical="center"/>
      <protection locked="0"/>
    </xf>
    <xf numFmtId="176" fontId="53" fillId="0" borderId="72" xfId="0" applyNumberFormat="1" applyFont="1" applyBorder="1" applyProtection="1">
      <alignment vertical="center"/>
      <protection locked="0"/>
    </xf>
    <xf numFmtId="176" fontId="53" fillId="0" borderId="45" xfId="0" applyNumberFormat="1" applyFont="1" applyBorder="1" applyProtection="1">
      <alignment vertical="center"/>
      <protection locked="0"/>
    </xf>
    <xf numFmtId="0" fontId="48" fillId="0" borderId="81" xfId="0" applyFont="1" applyFill="1" applyBorder="1" applyAlignment="1" applyProtection="1">
      <alignment horizontal="left" vertical="center" wrapText="1"/>
      <protection locked="0"/>
    </xf>
    <xf numFmtId="176" fontId="60" fillId="0" borderId="82" xfId="0" applyNumberFormat="1" applyFont="1" applyBorder="1" applyAlignment="1">
      <alignment vertical="center"/>
    </xf>
    <xf numFmtId="0" fontId="41" fillId="46" borderId="82" xfId="0" applyFont="1" applyFill="1" applyBorder="1" applyAlignment="1" applyProtection="1">
      <alignment horizontal="center" vertical="center" wrapText="1"/>
      <protection locked="0"/>
    </xf>
    <xf numFmtId="176" fontId="41" fillId="0" borderId="82" xfId="0" applyNumberFormat="1" applyFont="1" applyFill="1" applyBorder="1" applyProtection="1">
      <alignment vertical="center"/>
    </xf>
    <xf numFmtId="176" fontId="41" fillId="0" borderId="83" xfId="0" applyNumberFormat="1" applyFont="1" applyFill="1" applyBorder="1" applyProtection="1">
      <alignment vertical="center"/>
    </xf>
    <xf numFmtId="0" fontId="80" fillId="0" borderId="0" xfId="0" applyFont="1" applyAlignment="1" applyProtection="1">
      <alignment horizontal="center" vertical="center"/>
      <protection locked="0"/>
    </xf>
    <xf numFmtId="0" fontId="80" fillId="0" borderId="0" xfId="0" applyFont="1" applyAlignment="1" applyProtection="1">
      <alignment vertical="center" wrapText="1"/>
      <protection locked="0"/>
    </xf>
    <xf numFmtId="0" fontId="80" fillId="0" borderId="0" xfId="0" applyFont="1" applyProtection="1">
      <alignment vertical="center"/>
      <protection locked="0"/>
    </xf>
    <xf numFmtId="0" fontId="80" fillId="0" borderId="0" xfId="0" applyFont="1" applyAlignment="1" applyProtection="1">
      <alignment horizontal="center" vertical="center" wrapText="1"/>
      <protection locked="0"/>
    </xf>
    <xf numFmtId="0" fontId="84" fillId="0" borderId="0" xfId="0" applyFont="1" applyAlignment="1" applyProtection="1">
      <alignment horizontal="center" vertical="center" wrapText="1"/>
      <protection locked="0"/>
    </xf>
    <xf numFmtId="0" fontId="84" fillId="0" borderId="0" xfId="0" applyFont="1" applyAlignment="1" applyProtection="1">
      <alignment horizontal="center" vertical="center"/>
      <protection locked="0"/>
    </xf>
    <xf numFmtId="0" fontId="84" fillId="0" borderId="0" xfId="0" applyFont="1" applyAlignment="1" applyProtection="1">
      <alignment vertical="center" wrapText="1"/>
      <protection locked="0"/>
    </xf>
    <xf numFmtId="0" fontId="84" fillId="0" borderId="0" xfId="0" applyFont="1" applyProtection="1">
      <alignment vertical="center"/>
      <protection locked="0"/>
    </xf>
    <xf numFmtId="0" fontId="85" fillId="0" borderId="0" xfId="0" applyFont="1" applyProtection="1">
      <alignment vertical="center"/>
      <protection locked="0"/>
    </xf>
    <xf numFmtId="0" fontId="85" fillId="0" borderId="0" xfId="0" applyFont="1" applyAlignment="1" applyProtection="1">
      <alignment horizontal="center" vertical="center" wrapText="1"/>
      <protection locked="0"/>
    </xf>
    <xf numFmtId="0" fontId="85" fillId="0" borderId="0" xfId="0" applyFont="1" applyBorder="1" applyAlignment="1" applyProtection="1">
      <alignment vertical="center" wrapText="1"/>
      <protection locked="0"/>
    </xf>
    <xf numFmtId="0" fontId="86" fillId="0" borderId="0" xfId="0" applyFont="1" applyAlignment="1" applyProtection="1">
      <alignment horizontal="center" vertical="center"/>
      <protection locked="0"/>
    </xf>
    <xf numFmtId="0" fontId="85" fillId="0" borderId="0" xfId="0" applyFont="1" applyBorder="1" applyAlignment="1" applyProtection="1">
      <alignment horizontal="center" vertical="center"/>
      <protection locked="0"/>
    </xf>
    <xf numFmtId="0" fontId="85" fillId="0" borderId="0" xfId="0" applyFont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 vertical="center"/>
      <protection locked="0"/>
    </xf>
    <xf numFmtId="0" fontId="68" fillId="0" borderId="0" xfId="0" applyFont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center" vertical="center"/>
      <protection locked="0"/>
    </xf>
    <xf numFmtId="0" fontId="71" fillId="0" borderId="0" xfId="0" applyFont="1" applyAlignment="1">
      <alignment horizontal="center" vertical="center"/>
    </xf>
    <xf numFmtId="0" fontId="57" fillId="0" borderId="0" xfId="0" applyFont="1" applyAlignment="1" applyProtection="1">
      <alignment horizontal="center" vertical="center"/>
      <protection locked="0"/>
    </xf>
    <xf numFmtId="0" fontId="73" fillId="0" borderId="0" xfId="0" applyFont="1" applyAlignment="1">
      <alignment vertical="center"/>
    </xf>
    <xf numFmtId="0" fontId="76" fillId="0" borderId="0" xfId="0" applyFont="1" applyAlignment="1">
      <alignment horizontal="center" vertical="center"/>
    </xf>
    <xf numFmtId="0" fontId="76" fillId="0" borderId="0" xfId="0" applyFont="1" applyAlignment="1">
      <alignment vertical="center"/>
    </xf>
    <xf numFmtId="0" fontId="77" fillId="0" borderId="0" xfId="0" applyFont="1" applyAlignment="1" applyProtection="1">
      <alignment horizontal="center" vertical="center" wrapText="1"/>
      <protection locked="0"/>
    </xf>
    <xf numFmtId="0" fontId="79" fillId="0" borderId="0" xfId="0" applyFont="1" applyAlignment="1">
      <alignment vertical="center" wrapText="1"/>
    </xf>
    <xf numFmtId="0" fontId="57" fillId="0" borderId="0" xfId="0" applyFont="1" applyAlignment="1" applyProtection="1">
      <alignment horizontal="center" vertical="center" wrapText="1"/>
      <protection locked="0"/>
    </xf>
    <xf numFmtId="0" fontId="76" fillId="0" borderId="0" xfId="0" applyFont="1" applyAlignment="1">
      <alignment vertical="center" wrapText="1"/>
    </xf>
    <xf numFmtId="0" fontId="77" fillId="0" borderId="0" xfId="0" applyFont="1" applyAlignment="1" applyProtection="1">
      <alignment horizontal="center" vertical="center"/>
      <protection locked="0"/>
    </xf>
    <xf numFmtId="0" fontId="79" fillId="0" borderId="0" xfId="0" applyFont="1" applyAlignment="1">
      <alignment vertical="center"/>
    </xf>
    <xf numFmtId="0" fontId="71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59" fillId="0" borderId="0" xfId="0" applyFont="1" applyAlignment="1" applyProtection="1">
      <alignment horizontal="left" vertical="center"/>
      <protection locked="0"/>
    </xf>
    <xf numFmtId="0" fontId="30" fillId="0" borderId="47" xfId="0" applyFont="1" applyBorder="1" applyAlignment="1" applyProtection="1">
      <alignment horizontal="center" vertical="center" wrapText="1"/>
      <protection locked="0"/>
    </xf>
    <xf numFmtId="0" fontId="30" fillId="0" borderId="27" xfId="0" applyFont="1" applyBorder="1" applyAlignment="1" applyProtection="1">
      <alignment horizontal="center" vertical="center" wrapText="1"/>
      <protection locked="0"/>
    </xf>
    <xf numFmtId="0" fontId="43" fillId="33" borderId="41" xfId="0" applyFont="1" applyFill="1" applyBorder="1" applyAlignment="1" applyProtection="1">
      <alignment horizontal="center" vertical="center"/>
      <protection locked="0"/>
    </xf>
    <xf numFmtId="0" fontId="43" fillId="33" borderId="42" xfId="0" applyFont="1" applyFill="1" applyBorder="1" applyAlignment="1" applyProtection="1">
      <alignment horizontal="center" vertical="center"/>
      <protection locked="0"/>
    </xf>
    <xf numFmtId="0" fontId="43" fillId="33" borderId="43" xfId="0" applyFont="1" applyFill="1" applyBorder="1" applyAlignment="1" applyProtection="1">
      <alignment horizontal="center" vertical="center"/>
      <protection locked="0"/>
    </xf>
    <xf numFmtId="0" fontId="43" fillId="33" borderId="31" xfId="0" applyFont="1" applyFill="1" applyBorder="1" applyAlignment="1" applyProtection="1">
      <alignment horizontal="center" vertical="center"/>
      <protection locked="0"/>
    </xf>
    <xf numFmtId="0" fontId="43" fillId="34" borderId="37" xfId="0" applyFont="1" applyFill="1" applyBorder="1" applyAlignment="1" applyProtection="1">
      <alignment horizontal="center" vertical="center"/>
      <protection locked="0"/>
    </xf>
    <xf numFmtId="0" fontId="43" fillId="34" borderId="42" xfId="0" applyFont="1" applyFill="1" applyBorder="1" applyAlignment="1" applyProtection="1">
      <alignment horizontal="center" vertical="center"/>
      <protection locked="0"/>
    </xf>
    <xf numFmtId="0" fontId="43" fillId="34" borderId="39" xfId="0" applyFont="1" applyFill="1" applyBorder="1" applyAlignment="1" applyProtection="1">
      <alignment horizontal="center" vertical="center"/>
      <protection locked="0"/>
    </xf>
    <xf numFmtId="0" fontId="43" fillId="34" borderId="31" xfId="0" applyFont="1" applyFill="1" applyBorder="1" applyAlignment="1" applyProtection="1">
      <alignment horizontal="center" vertical="center"/>
      <protection locked="0"/>
    </xf>
    <xf numFmtId="0" fontId="31" fillId="0" borderId="44" xfId="0" applyFont="1" applyBorder="1" applyAlignment="1" applyProtection="1">
      <alignment horizontal="center" vertical="center" wrapText="1"/>
      <protection locked="0"/>
    </xf>
    <xf numFmtId="0" fontId="31" fillId="0" borderId="45" xfId="0" applyFont="1" applyBorder="1" applyAlignment="1" applyProtection="1">
      <alignment horizontal="center" vertical="center" wrapText="1"/>
      <protection locked="0"/>
    </xf>
    <xf numFmtId="0" fontId="31" fillId="0" borderId="46" xfId="0" applyFont="1" applyBorder="1" applyAlignment="1" applyProtection="1">
      <alignment horizontal="center" vertical="center" wrapText="1"/>
      <protection locked="0"/>
    </xf>
    <xf numFmtId="0" fontId="43" fillId="35" borderId="41" xfId="0" applyFont="1" applyFill="1" applyBorder="1" applyAlignment="1" applyProtection="1">
      <alignment horizontal="center" vertical="center"/>
      <protection locked="0"/>
    </xf>
    <xf numFmtId="0" fontId="43" fillId="35" borderId="42" xfId="0" applyFont="1" applyFill="1" applyBorder="1" applyAlignment="1" applyProtection="1">
      <alignment horizontal="center" vertical="center"/>
      <protection locked="0"/>
    </xf>
    <xf numFmtId="0" fontId="43" fillId="35" borderId="43" xfId="0" applyFont="1" applyFill="1" applyBorder="1" applyAlignment="1" applyProtection="1">
      <alignment horizontal="center" vertical="center"/>
      <protection locked="0"/>
    </xf>
    <xf numFmtId="0" fontId="43" fillId="35" borderId="31" xfId="0" applyFont="1" applyFill="1" applyBorder="1" applyAlignment="1" applyProtection="1">
      <alignment horizontal="center" vertical="center"/>
      <protection locked="0"/>
    </xf>
    <xf numFmtId="0" fontId="30" fillId="39" borderId="36" xfId="0" applyFont="1" applyFill="1" applyBorder="1" applyAlignment="1" applyProtection="1">
      <alignment horizontal="center" vertical="center"/>
      <protection locked="0"/>
    </xf>
    <xf numFmtId="0" fontId="30" fillId="39" borderId="11" xfId="0" applyFont="1" applyFill="1" applyBorder="1" applyAlignment="1" applyProtection="1">
      <alignment horizontal="center" vertical="center"/>
      <protection locked="0"/>
    </xf>
    <xf numFmtId="0" fontId="30" fillId="39" borderId="10" xfId="0" applyFont="1" applyFill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30" xfId="0" applyFont="1" applyBorder="1" applyAlignment="1" applyProtection="1">
      <alignment horizontal="center" vertical="center"/>
      <protection locked="0"/>
    </xf>
    <xf numFmtId="0" fontId="23" fillId="0" borderId="20" xfId="0" applyFont="1" applyBorder="1" applyAlignment="1" applyProtection="1">
      <alignment horizontal="center" vertical="center"/>
      <protection locked="0"/>
    </xf>
    <xf numFmtId="0" fontId="23" fillId="0" borderId="21" xfId="0" applyFont="1" applyBorder="1" applyAlignment="1" applyProtection="1">
      <alignment horizontal="center" vertical="center"/>
      <protection locked="0"/>
    </xf>
    <xf numFmtId="0" fontId="23" fillId="0" borderId="23" xfId="0" applyFont="1" applyBorder="1" applyAlignment="1" applyProtection="1">
      <alignment horizontal="center" vertical="center"/>
      <protection locked="0"/>
    </xf>
    <xf numFmtId="0" fontId="23" fillId="0" borderId="25" xfId="0" applyFont="1" applyBorder="1" applyAlignment="1" applyProtection="1">
      <alignment horizontal="center" vertical="center"/>
      <protection locked="0"/>
    </xf>
    <xf numFmtId="0" fontId="43" fillId="36" borderId="37" xfId="0" applyFont="1" applyFill="1" applyBorder="1" applyAlignment="1" applyProtection="1">
      <alignment horizontal="center" vertical="center"/>
      <protection locked="0"/>
    </xf>
    <xf numFmtId="0" fontId="43" fillId="36" borderId="38" xfId="0" applyFont="1" applyFill="1" applyBorder="1" applyAlignment="1" applyProtection="1">
      <alignment horizontal="center" vertical="center"/>
      <protection locked="0"/>
    </xf>
    <xf numFmtId="0" fontId="43" fillId="36" borderId="39" xfId="0" applyFont="1" applyFill="1" applyBorder="1" applyAlignment="1" applyProtection="1">
      <alignment horizontal="center" vertical="center"/>
      <protection locked="0"/>
    </xf>
    <xf numFmtId="0" fontId="43" fillId="36" borderId="40" xfId="0" applyFont="1" applyFill="1" applyBorder="1" applyAlignment="1" applyProtection="1">
      <alignment horizontal="center" vertical="center"/>
      <protection locked="0"/>
    </xf>
    <xf numFmtId="0" fontId="30" fillId="39" borderId="35" xfId="0" applyFont="1" applyFill="1" applyBorder="1" applyAlignment="1" applyProtection="1">
      <alignment horizontal="center" vertical="center"/>
      <protection locked="0"/>
    </xf>
    <xf numFmtId="0" fontId="64" fillId="0" borderId="47" xfId="0" applyFont="1" applyBorder="1" applyAlignment="1" applyProtection="1">
      <alignment horizontal="center" vertical="center"/>
      <protection locked="0"/>
    </xf>
    <xf numFmtId="0" fontId="66" fillId="0" borderId="59" xfId="0" applyFont="1" applyBorder="1" applyAlignment="1" applyProtection="1">
      <alignment horizontal="center" vertical="center"/>
      <protection locked="0"/>
    </xf>
    <xf numFmtId="0" fontId="66" fillId="0" borderId="53" xfId="0" applyFont="1" applyBorder="1" applyAlignment="1" applyProtection="1">
      <alignment horizontal="center" vertical="center"/>
      <protection locked="0"/>
    </xf>
    <xf numFmtId="0" fontId="63" fillId="0" borderId="49" xfId="0" applyFont="1" applyBorder="1" applyAlignment="1" applyProtection="1">
      <alignment horizontal="center" vertical="center"/>
      <protection locked="0"/>
    </xf>
    <xf numFmtId="0" fontId="65" fillId="0" borderId="52" xfId="0" applyFont="1" applyBorder="1" applyAlignment="1" applyProtection="1">
      <alignment horizontal="center" vertical="center"/>
      <protection locked="0"/>
    </xf>
    <xf numFmtId="0" fontId="63" fillId="0" borderId="38" xfId="0" applyFont="1" applyBorder="1" applyAlignment="1" applyProtection="1">
      <alignment horizontal="center" vertical="center"/>
      <protection locked="0"/>
    </xf>
    <xf numFmtId="0" fontId="65" fillId="0" borderId="49" xfId="0" applyFont="1" applyBorder="1" applyAlignment="1" applyProtection="1">
      <alignment horizontal="center" vertical="center"/>
      <protection locked="0"/>
    </xf>
    <xf numFmtId="0" fontId="61" fillId="39" borderId="55" xfId="0" applyFont="1" applyFill="1" applyBorder="1" applyAlignment="1" applyProtection="1">
      <alignment horizontal="center" vertical="center"/>
      <protection locked="0"/>
    </xf>
    <xf numFmtId="0" fontId="61" fillId="39" borderId="56" xfId="0" applyFont="1" applyFill="1" applyBorder="1" applyAlignment="1" applyProtection="1">
      <alignment horizontal="center" vertical="center"/>
      <protection locked="0"/>
    </xf>
    <xf numFmtId="0" fontId="61" fillId="39" borderId="28" xfId="0" applyFont="1" applyFill="1" applyBorder="1" applyAlignment="1" applyProtection="1">
      <alignment horizontal="center" vertical="center"/>
      <protection locked="0"/>
    </xf>
    <xf numFmtId="0" fontId="67" fillId="39" borderId="57" xfId="0" applyFont="1" applyFill="1" applyBorder="1" applyAlignment="1" applyProtection="1">
      <alignment horizontal="center" vertical="center"/>
      <protection locked="0"/>
    </xf>
    <xf numFmtId="0" fontId="67" fillId="39" borderId="56" xfId="0" applyFont="1" applyFill="1" applyBorder="1" applyAlignment="1" applyProtection="1">
      <alignment horizontal="center" vertical="center"/>
      <protection locked="0"/>
    </xf>
    <xf numFmtId="0" fontId="67" fillId="39" borderId="58" xfId="0" applyFont="1" applyFill="1" applyBorder="1" applyAlignment="1" applyProtection="1">
      <alignment horizontal="center" vertical="center"/>
      <protection locked="0"/>
    </xf>
    <xf numFmtId="0" fontId="74" fillId="39" borderId="71" xfId="0" applyFont="1" applyFill="1" applyBorder="1" applyAlignment="1" applyProtection="1">
      <alignment horizontal="center" vertical="center"/>
      <protection locked="0"/>
    </xf>
    <xf numFmtId="0" fontId="74" fillId="39" borderId="72" xfId="0" applyFont="1" applyFill="1" applyBorder="1" applyAlignment="1" applyProtection="1">
      <alignment horizontal="center" vertical="center"/>
      <protection locked="0"/>
    </xf>
    <xf numFmtId="0" fontId="74" fillId="39" borderId="67" xfId="0" applyFont="1" applyFill="1" applyBorder="1" applyAlignment="1" applyProtection="1">
      <alignment horizontal="center" vertical="center"/>
      <protection locked="0"/>
    </xf>
    <xf numFmtId="0" fontId="61" fillId="39" borderId="16" xfId="0" applyFont="1" applyFill="1" applyBorder="1" applyAlignment="1" applyProtection="1">
      <alignment horizontal="center" vertical="center"/>
      <protection locked="0"/>
    </xf>
    <xf numFmtId="0" fontId="61" fillId="39" borderId="13" xfId="0" applyFont="1" applyFill="1" applyBorder="1" applyAlignment="1" applyProtection="1">
      <alignment horizontal="center" vertical="center"/>
      <protection locked="0"/>
    </xf>
    <xf numFmtId="0" fontId="67" fillId="39" borderId="13" xfId="0" applyFont="1" applyFill="1" applyBorder="1" applyAlignment="1" applyProtection="1">
      <alignment horizontal="center" vertical="center"/>
      <protection locked="0"/>
    </xf>
    <xf numFmtId="0" fontId="67" fillId="39" borderId="24" xfId="0" applyFont="1" applyFill="1" applyBorder="1" applyAlignment="1" applyProtection="1">
      <alignment horizontal="center" vertical="center"/>
      <protection locked="0"/>
    </xf>
    <xf numFmtId="0" fontId="74" fillId="39" borderId="16" xfId="0" applyFont="1" applyFill="1" applyBorder="1" applyAlignment="1" applyProtection="1">
      <alignment horizontal="center" vertical="center"/>
      <protection locked="0"/>
    </xf>
    <xf numFmtId="0" fontId="74" fillId="39" borderId="13" xfId="0" applyFont="1" applyFill="1" applyBorder="1" applyAlignment="1" applyProtection="1">
      <alignment horizontal="center" vertical="center"/>
      <protection locked="0"/>
    </xf>
    <xf numFmtId="0" fontId="74" fillId="39" borderId="24" xfId="0" applyFont="1" applyFill="1" applyBorder="1" applyAlignment="1" applyProtection="1">
      <alignment horizontal="center" vertical="center"/>
      <protection locked="0"/>
    </xf>
    <xf numFmtId="0" fontId="61" fillId="39" borderId="63" xfId="0" applyFont="1" applyFill="1" applyBorder="1" applyAlignment="1" applyProtection="1">
      <alignment horizontal="center" vertical="center"/>
      <protection locked="0"/>
    </xf>
    <xf numFmtId="0" fontId="61" fillId="39" borderId="10" xfId="0" applyFont="1" applyFill="1" applyBorder="1" applyAlignment="1" applyProtection="1">
      <alignment horizontal="center" vertical="center"/>
      <protection locked="0"/>
    </xf>
    <xf numFmtId="0" fontId="62" fillId="39" borderId="41" xfId="0" applyFont="1" applyFill="1" applyBorder="1" applyAlignment="1" applyProtection="1">
      <alignment horizontal="center" vertical="center"/>
      <protection locked="0"/>
    </xf>
    <xf numFmtId="0" fontId="62" fillId="39" borderId="48" xfId="0" applyFont="1" applyFill="1" applyBorder="1" applyAlignment="1" applyProtection="1">
      <alignment horizontal="center" vertical="center"/>
      <protection locked="0"/>
    </xf>
    <xf numFmtId="0" fontId="62" fillId="39" borderId="38" xfId="0" applyFont="1" applyFill="1" applyBorder="1" applyAlignment="1" applyProtection="1">
      <alignment horizontal="center" vertical="center"/>
      <protection locked="0"/>
    </xf>
    <xf numFmtId="0" fontId="62" fillId="39" borderId="69" xfId="0" applyFont="1" applyFill="1" applyBorder="1" applyAlignment="1" applyProtection="1">
      <alignment horizontal="center" vertical="center"/>
      <protection locked="0"/>
    </xf>
    <xf numFmtId="0" fontId="62" fillId="39" borderId="0" xfId="0" applyFont="1" applyFill="1" applyBorder="1" applyAlignment="1" applyProtection="1">
      <alignment horizontal="center" vertical="center"/>
      <protection locked="0"/>
    </xf>
    <xf numFmtId="0" fontId="62" fillId="39" borderId="49" xfId="0" applyFont="1" applyFill="1" applyBorder="1" applyAlignment="1" applyProtection="1">
      <alignment horizontal="center" vertical="center"/>
      <protection locked="0"/>
    </xf>
    <xf numFmtId="0" fontId="62" fillId="39" borderId="50" xfId="0" applyFont="1" applyFill="1" applyBorder="1" applyAlignment="1" applyProtection="1">
      <alignment horizontal="center" vertical="center"/>
      <protection locked="0"/>
    </xf>
    <xf numFmtId="0" fontId="62" fillId="39" borderId="51" xfId="0" applyFont="1" applyFill="1" applyBorder="1" applyAlignment="1" applyProtection="1">
      <alignment horizontal="center" vertical="center"/>
      <protection locked="0"/>
    </xf>
    <xf numFmtId="0" fontId="62" fillId="39" borderId="52" xfId="0" applyFont="1" applyFill="1" applyBorder="1" applyAlignment="1" applyProtection="1">
      <alignment horizontal="center" vertical="center"/>
      <protection locked="0"/>
    </xf>
    <xf numFmtId="0" fontId="61" fillId="39" borderId="64" xfId="0" applyFont="1" applyFill="1" applyBorder="1" applyAlignment="1" applyProtection="1">
      <alignment horizontal="center" vertical="center"/>
      <protection locked="0"/>
    </xf>
    <xf numFmtId="0" fontId="23" fillId="0" borderId="60" xfId="0" applyFont="1" applyBorder="1" applyAlignment="1" applyProtection="1">
      <alignment horizontal="left" vertical="center" indent="1"/>
      <protection locked="0"/>
    </xf>
    <xf numFmtId="0" fontId="23" fillId="0" borderId="61" xfId="0" applyFont="1" applyBorder="1" applyAlignment="1" applyProtection="1">
      <alignment horizontal="left" vertical="center" indent="1"/>
      <protection locked="0"/>
    </xf>
    <xf numFmtId="0" fontId="23" fillId="0" borderId="62" xfId="0" applyFont="1" applyBorder="1" applyAlignment="1" applyProtection="1">
      <alignment horizontal="left" vertical="center" indent="1"/>
      <protection locked="0"/>
    </xf>
    <xf numFmtId="0" fontId="61" fillId="39" borderId="60" xfId="0" applyFont="1" applyFill="1" applyBorder="1" applyAlignment="1" applyProtection="1">
      <alignment horizontal="left" vertical="center" indent="1"/>
      <protection locked="0"/>
    </xf>
    <xf numFmtId="0" fontId="61" fillId="39" borderId="61" xfId="0" applyFont="1" applyFill="1" applyBorder="1" applyAlignment="1" applyProtection="1">
      <alignment horizontal="left" vertical="center" indent="1"/>
      <protection locked="0"/>
    </xf>
    <xf numFmtId="0" fontId="61" fillId="39" borderId="62" xfId="0" applyFont="1" applyFill="1" applyBorder="1" applyAlignment="1" applyProtection="1">
      <alignment horizontal="left" vertical="center" indent="1"/>
      <protection locked="0"/>
    </xf>
    <xf numFmtId="0" fontId="57" fillId="39" borderId="16" xfId="0" applyFont="1" applyFill="1" applyBorder="1" applyAlignment="1" applyProtection="1">
      <alignment horizontal="left" vertical="top" wrapText="1" indent="1"/>
      <protection locked="0"/>
    </xf>
    <xf numFmtId="0" fontId="57" fillId="39" borderId="24" xfId="0" applyFont="1" applyFill="1" applyBorder="1" applyAlignment="1" applyProtection="1">
      <alignment horizontal="left" vertical="top" wrapText="1" indent="1"/>
      <protection locked="0"/>
    </xf>
    <xf numFmtId="0" fontId="24" fillId="33" borderId="48" xfId="0" applyFont="1" applyFill="1" applyBorder="1" applyAlignment="1" applyProtection="1">
      <alignment horizontal="center" vertical="center"/>
      <protection locked="0"/>
    </xf>
    <xf numFmtId="0" fontId="24" fillId="34" borderId="0" xfId="0" applyFont="1" applyFill="1" applyAlignment="1" applyProtection="1">
      <alignment horizontal="center" vertical="center"/>
      <protection locked="0"/>
    </xf>
    <xf numFmtId="0" fontId="24" fillId="35" borderId="0" xfId="0" applyFont="1" applyFill="1" applyAlignment="1" applyProtection="1">
      <alignment horizontal="center" vertical="center"/>
      <protection locked="0"/>
    </xf>
    <xf numFmtId="0" fontId="24" fillId="36" borderId="0" xfId="0" applyFont="1" applyFill="1" applyAlignment="1" applyProtection="1">
      <alignment horizontal="center" vertical="center"/>
      <protection locked="0"/>
    </xf>
    <xf numFmtId="0" fontId="62" fillId="39" borderId="15" xfId="0" applyFont="1" applyFill="1" applyBorder="1" applyAlignment="1" applyProtection="1">
      <alignment horizontal="center" vertical="center"/>
      <protection locked="0"/>
    </xf>
    <xf numFmtId="0" fontId="62" fillId="39" borderId="16" xfId="0" applyFont="1" applyFill="1" applyBorder="1" applyAlignment="1" applyProtection="1">
      <alignment horizontal="center" vertical="center"/>
      <protection locked="0"/>
    </xf>
    <xf numFmtId="0" fontId="62" fillId="39" borderId="17" xfId="0" applyFont="1" applyFill="1" applyBorder="1" applyAlignment="1" applyProtection="1">
      <alignment horizontal="center" vertical="center"/>
      <protection locked="0"/>
    </xf>
    <xf numFmtId="0" fontId="62" fillId="39" borderId="20" xfId="0" applyFont="1" applyFill="1" applyBorder="1" applyAlignment="1" applyProtection="1">
      <alignment horizontal="center" vertical="center"/>
      <protection locked="0"/>
    </xf>
    <xf numFmtId="0" fontId="62" fillId="39" borderId="13" xfId="0" applyFont="1" applyFill="1" applyBorder="1" applyAlignment="1" applyProtection="1">
      <alignment horizontal="center" vertical="center"/>
      <protection locked="0"/>
    </xf>
    <xf numFmtId="0" fontId="62" fillId="39" borderId="21" xfId="0" applyFont="1" applyFill="1" applyBorder="1" applyAlignment="1" applyProtection="1">
      <alignment horizontal="center" vertical="center"/>
      <protection locked="0"/>
    </xf>
    <xf numFmtId="0" fontId="62" fillId="39" borderId="23" xfId="0" applyFont="1" applyFill="1" applyBorder="1" applyAlignment="1" applyProtection="1">
      <alignment horizontal="center" vertical="center"/>
      <protection locked="0"/>
    </xf>
    <xf numFmtId="0" fontId="62" fillId="39" borderId="24" xfId="0" applyFont="1" applyFill="1" applyBorder="1" applyAlignment="1" applyProtection="1">
      <alignment horizontal="center" vertical="center"/>
      <protection locked="0"/>
    </xf>
    <xf numFmtId="0" fontId="62" fillId="39" borderId="25" xfId="0" applyFont="1" applyFill="1" applyBorder="1" applyAlignment="1" applyProtection="1">
      <alignment horizontal="center" vertical="center"/>
      <protection locked="0"/>
    </xf>
    <xf numFmtId="0" fontId="56" fillId="0" borderId="15" xfId="0" applyFont="1" applyBorder="1" applyAlignment="1" applyProtection="1">
      <alignment horizontal="center" vertical="center"/>
      <protection locked="0"/>
    </xf>
    <xf numFmtId="0" fontId="56" fillId="0" borderId="16" xfId="0" applyFont="1" applyBorder="1" applyAlignment="1" applyProtection="1">
      <alignment horizontal="center" vertical="center"/>
      <protection locked="0"/>
    </xf>
    <xf numFmtId="0" fontId="56" fillId="0" borderId="23" xfId="0" applyFont="1" applyBorder="1" applyAlignment="1" applyProtection="1">
      <alignment horizontal="center" vertical="center"/>
      <protection locked="0"/>
    </xf>
    <xf numFmtId="0" fontId="56" fillId="0" borderId="24" xfId="0" applyFont="1" applyBorder="1" applyAlignment="1" applyProtection="1">
      <alignment horizontal="center" vertical="center"/>
      <protection locked="0"/>
    </xf>
    <xf numFmtId="0" fontId="85" fillId="0" borderId="0" xfId="0" applyFont="1" applyBorder="1" applyAlignment="1" applyProtection="1">
      <alignment horizontal="center" vertical="center"/>
      <protection locked="0"/>
    </xf>
    <xf numFmtId="0" fontId="85" fillId="0" borderId="54" xfId="0" applyFont="1" applyBorder="1" applyAlignment="1" applyProtection="1">
      <alignment horizontal="center" vertical="center"/>
      <protection locked="0"/>
    </xf>
    <xf numFmtId="0" fontId="81" fillId="0" borderId="0" xfId="0" applyFont="1" applyAlignment="1" applyProtection="1">
      <alignment horizontal="center" vertical="center"/>
      <protection locked="0"/>
    </xf>
    <xf numFmtId="0" fontId="83" fillId="0" borderId="0" xfId="0" applyFont="1" applyAlignment="1">
      <alignment vertical="center"/>
    </xf>
    <xf numFmtId="0" fontId="81" fillId="0" borderId="0" xfId="0" applyFont="1" applyAlignment="1" applyProtection="1">
      <alignment horizontal="center" vertical="center" wrapText="1"/>
      <protection locked="0"/>
    </xf>
    <xf numFmtId="0" fontId="83" fillId="0" borderId="0" xfId="0" applyFont="1" applyAlignment="1">
      <alignment vertical="center" wrapText="1"/>
    </xf>
    <xf numFmtId="0" fontId="47" fillId="0" borderId="14" xfId="0" applyFont="1" applyFill="1" applyBorder="1" applyAlignment="1" applyProtection="1">
      <alignment horizontal="center" vertical="center" wrapText="1"/>
      <protection locked="0"/>
    </xf>
    <xf numFmtId="0" fontId="47" fillId="0" borderId="19" xfId="0" applyFont="1" applyFill="1" applyBorder="1" applyAlignment="1" applyProtection="1">
      <alignment horizontal="center" vertical="center" wrapText="1"/>
      <protection locked="0"/>
    </xf>
    <xf numFmtId="0" fontId="47" fillId="41" borderId="15" xfId="0" applyFont="1" applyFill="1" applyBorder="1" applyAlignment="1" applyProtection="1">
      <alignment horizontal="center" vertical="center"/>
      <protection locked="0"/>
    </xf>
    <xf numFmtId="0" fontId="47" fillId="41" borderId="16" xfId="0" applyFont="1" applyFill="1" applyBorder="1" applyAlignment="1" applyProtection="1">
      <alignment horizontal="center" vertical="center"/>
      <protection locked="0"/>
    </xf>
    <xf numFmtId="0" fontId="47" fillId="41" borderId="20" xfId="0" applyFont="1" applyFill="1" applyBorder="1" applyAlignment="1" applyProtection="1">
      <alignment horizontal="center" vertical="center"/>
      <protection locked="0"/>
    </xf>
    <xf numFmtId="0" fontId="47" fillId="41" borderId="13" xfId="0" applyFont="1" applyFill="1" applyBorder="1" applyAlignment="1" applyProtection="1">
      <alignment horizontal="center" vertical="center"/>
      <protection locked="0"/>
    </xf>
    <xf numFmtId="0" fontId="47" fillId="42" borderId="16" xfId="0" applyFont="1" applyFill="1" applyBorder="1" applyAlignment="1" applyProtection="1">
      <alignment horizontal="center" vertical="center"/>
      <protection locked="0"/>
    </xf>
    <xf numFmtId="0" fontId="47" fillId="42" borderId="13" xfId="0" applyFont="1" applyFill="1" applyBorder="1" applyAlignment="1" applyProtection="1">
      <alignment horizontal="center" vertical="center"/>
      <protection locked="0"/>
    </xf>
    <xf numFmtId="0" fontId="47" fillId="0" borderId="17" xfId="0" applyFont="1" applyFill="1" applyBorder="1" applyAlignment="1" applyProtection="1">
      <alignment horizontal="center" vertical="center" wrapText="1"/>
      <protection locked="0"/>
    </xf>
    <xf numFmtId="0" fontId="47" fillId="0" borderId="21" xfId="0" applyFont="1" applyFill="1" applyBorder="1" applyAlignment="1" applyProtection="1">
      <alignment horizontal="center" vertical="center" wrapText="1"/>
      <protection locked="0"/>
    </xf>
    <xf numFmtId="0" fontId="47" fillId="0" borderId="25" xfId="0" applyFont="1" applyFill="1" applyBorder="1" applyAlignment="1" applyProtection="1">
      <alignment horizontal="center" vertical="center" wrapText="1"/>
      <protection locked="0"/>
    </xf>
    <xf numFmtId="0" fontId="47" fillId="43" borderId="18" xfId="0" applyFont="1" applyFill="1" applyBorder="1" applyAlignment="1" applyProtection="1">
      <alignment horizontal="center" vertical="center"/>
      <protection locked="0"/>
    </xf>
    <xf numFmtId="0" fontId="47" fillId="43" borderId="16" xfId="0" applyFont="1" applyFill="1" applyBorder="1" applyAlignment="1" applyProtection="1">
      <alignment horizontal="center" vertical="center"/>
      <protection locked="0"/>
    </xf>
    <xf numFmtId="0" fontId="47" fillId="43" borderId="11" xfId="0" applyFont="1" applyFill="1" applyBorder="1" applyAlignment="1" applyProtection="1">
      <alignment horizontal="center" vertical="center"/>
      <protection locked="0"/>
    </xf>
    <xf numFmtId="0" fontId="47" fillId="43" borderId="13" xfId="0" applyFont="1" applyFill="1" applyBorder="1" applyAlignment="1" applyProtection="1">
      <alignment horizontal="center" vertical="center"/>
      <protection locked="0"/>
    </xf>
    <xf numFmtId="0" fontId="47" fillId="44" borderId="16" xfId="0" applyFont="1" applyFill="1" applyBorder="1" applyAlignment="1" applyProtection="1">
      <alignment horizontal="center" vertical="center"/>
      <protection locked="0"/>
    </xf>
    <xf numFmtId="0" fontId="47" fillId="44" borderId="17" xfId="0" applyFont="1" applyFill="1" applyBorder="1" applyAlignment="1" applyProtection="1">
      <alignment horizontal="center" vertical="center"/>
      <protection locked="0"/>
    </xf>
    <xf numFmtId="0" fontId="47" fillId="44" borderId="13" xfId="0" applyFont="1" applyFill="1" applyBorder="1" applyAlignment="1" applyProtection="1">
      <alignment horizontal="center" vertical="center"/>
      <protection locked="0"/>
    </xf>
    <xf numFmtId="0" fontId="47" fillId="44" borderId="21" xfId="0" applyFont="1" applyFill="1" applyBorder="1" applyAlignment="1" applyProtection="1">
      <alignment horizontal="center" vertical="center"/>
      <protection locked="0"/>
    </xf>
    <xf numFmtId="0" fontId="47" fillId="0" borderId="20" xfId="0" applyFont="1" applyFill="1" applyBorder="1" applyAlignment="1" applyProtection="1">
      <alignment horizontal="center" vertical="center"/>
      <protection locked="0"/>
    </xf>
    <xf numFmtId="0" fontId="47" fillId="0" borderId="13" xfId="0" applyFont="1" applyFill="1" applyBorder="1" applyAlignment="1" applyProtection="1">
      <alignment horizontal="center" vertical="center"/>
      <protection locked="0"/>
    </xf>
    <xf numFmtId="0" fontId="47" fillId="0" borderId="11" xfId="0" applyFont="1" applyFill="1" applyBorder="1" applyAlignment="1" applyProtection="1">
      <alignment horizontal="center" vertical="center"/>
      <protection locked="0"/>
    </xf>
    <xf numFmtId="0" fontId="47" fillId="0" borderId="21" xfId="0" applyFont="1" applyFill="1" applyBorder="1" applyAlignment="1" applyProtection="1">
      <alignment horizontal="center" vertical="center"/>
      <protection locked="0"/>
    </xf>
    <xf numFmtId="0" fontId="28" fillId="0" borderId="15" xfId="0" applyFont="1" applyFill="1" applyBorder="1" applyAlignment="1" applyProtection="1">
      <alignment horizontal="left" vertical="center" wrapText="1" indent="2"/>
      <protection locked="0"/>
    </xf>
    <xf numFmtId="0" fontId="28" fillId="0" borderId="16" xfId="0" applyFont="1" applyFill="1" applyBorder="1" applyAlignment="1" applyProtection="1">
      <alignment horizontal="left" vertical="center" wrapText="1" indent="2"/>
      <protection locked="0"/>
    </xf>
    <xf numFmtId="0" fontId="28" fillId="0" borderId="17" xfId="0" applyFont="1" applyFill="1" applyBorder="1" applyAlignment="1" applyProtection="1">
      <alignment horizontal="left" vertical="center" wrapText="1" indent="2"/>
      <protection locked="0"/>
    </xf>
    <xf numFmtId="0" fontId="28" fillId="0" borderId="23" xfId="0" applyFont="1" applyFill="1" applyBorder="1" applyAlignment="1" applyProtection="1">
      <alignment horizontal="left" vertical="center" wrapText="1" indent="2"/>
      <protection locked="0"/>
    </xf>
    <xf numFmtId="0" fontId="28" fillId="0" borderId="24" xfId="0" applyFont="1" applyFill="1" applyBorder="1" applyAlignment="1" applyProtection="1">
      <alignment horizontal="left" vertical="center" wrapText="1" indent="2"/>
      <protection locked="0"/>
    </xf>
    <xf numFmtId="0" fontId="28" fillId="0" borderId="25" xfId="0" applyFont="1" applyFill="1" applyBorder="1" applyAlignment="1" applyProtection="1">
      <alignment horizontal="left" vertical="center" wrapText="1" indent="2"/>
      <protection locked="0"/>
    </xf>
    <xf numFmtId="0" fontId="24" fillId="0" borderId="59" xfId="0" applyFont="1" applyBorder="1" applyAlignment="1" applyProtection="1">
      <alignment horizontal="center" vertical="center" wrapText="1"/>
      <protection locked="0"/>
    </xf>
    <xf numFmtId="0" fontId="24" fillId="0" borderId="53" xfId="0" applyFont="1" applyBorder="1" applyAlignment="1" applyProtection="1">
      <alignment horizontal="center" vertical="center" wrapText="1"/>
      <protection locked="0"/>
    </xf>
    <xf numFmtId="0" fontId="24" fillId="0" borderId="41" xfId="0" applyFont="1" applyBorder="1" applyAlignment="1" applyProtection="1">
      <alignment horizontal="center" vertical="center" wrapText="1"/>
      <protection locked="0"/>
    </xf>
    <xf numFmtId="0" fontId="24" fillId="0" borderId="38" xfId="0" applyFont="1" applyBorder="1" applyAlignment="1" applyProtection="1">
      <alignment horizontal="center" vertical="center" wrapText="1"/>
      <protection locked="0"/>
    </xf>
    <xf numFmtId="0" fontId="24" fillId="0" borderId="50" xfId="0" applyFont="1" applyBorder="1" applyAlignment="1" applyProtection="1">
      <alignment horizontal="center" vertical="center" wrapText="1"/>
      <protection locked="0"/>
    </xf>
    <xf numFmtId="0" fontId="24" fillId="0" borderId="52" xfId="0" applyFont="1" applyBorder="1" applyAlignment="1" applyProtection="1">
      <alignment horizontal="center" vertical="center" wrapText="1"/>
      <protection locked="0"/>
    </xf>
    <xf numFmtId="0" fontId="35" fillId="0" borderId="41" xfId="0" applyFont="1" applyBorder="1" applyAlignment="1" applyProtection="1">
      <alignment horizontal="center" vertical="center"/>
      <protection locked="0"/>
    </xf>
    <xf numFmtId="0" fontId="35" fillId="0" borderId="48" xfId="0" applyFont="1" applyBorder="1" applyAlignment="1" applyProtection="1">
      <alignment horizontal="center" vertical="center"/>
      <protection locked="0"/>
    </xf>
    <xf numFmtId="0" fontId="35" fillId="0" borderId="38" xfId="0" applyFont="1" applyBorder="1" applyAlignment="1" applyProtection="1">
      <alignment horizontal="center" vertical="center"/>
      <protection locked="0"/>
    </xf>
    <xf numFmtId="0" fontId="35" fillId="0" borderId="50" xfId="0" applyFont="1" applyBorder="1" applyAlignment="1" applyProtection="1">
      <alignment horizontal="center" vertical="center"/>
      <protection locked="0"/>
    </xf>
    <xf numFmtId="0" fontId="35" fillId="0" borderId="51" xfId="0" applyFont="1" applyBorder="1" applyAlignment="1" applyProtection="1">
      <alignment horizontal="center" vertical="center"/>
      <protection locked="0"/>
    </xf>
    <xf numFmtId="0" fontId="35" fillId="0" borderId="52" xfId="0" applyFont="1" applyBorder="1" applyAlignment="1" applyProtection="1">
      <alignment horizontal="center" vertical="center"/>
      <protection locked="0"/>
    </xf>
    <xf numFmtId="0" fontId="25" fillId="0" borderId="14" xfId="0" applyFont="1" applyFill="1" applyBorder="1" applyAlignment="1" applyProtection="1">
      <alignment horizontal="center" vertical="center" wrapText="1"/>
      <protection locked="0"/>
    </xf>
    <xf numFmtId="0" fontId="25" fillId="0" borderId="19" xfId="0" applyFont="1" applyFill="1" applyBorder="1" applyAlignment="1" applyProtection="1">
      <alignment horizontal="center" vertical="center" wrapText="1"/>
      <protection locked="0"/>
    </xf>
    <xf numFmtId="0" fontId="25" fillId="41" borderId="15" xfId="0" applyFont="1" applyFill="1" applyBorder="1" applyAlignment="1" applyProtection="1">
      <alignment horizontal="center" vertical="center"/>
      <protection locked="0"/>
    </xf>
    <xf numFmtId="0" fontId="25" fillId="41" borderId="16" xfId="0" applyFont="1" applyFill="1" applyBorder="1" applyAlignment="1" applyProtection="1">
      <alignment horizontal="center" vertical="center"/>
      <protection locked="0"/>
    </xf>
    <xf numFmtId="0" fontId="25" fillId="41" borderId="20" xfId="0" applyFont="1" applyFill="1" applyBorder="1" applyAlignment="1" applyProtection="1">
      <alignment horizontal="center" vertical="center"/>
      <protection locked="0"/>
    </xf>
    <xf numFmtId="0" fontId="25" fillId="41" borderId="13" xfId="0" applyFont="1" applyFill="1" applyBorder="1" applyAlignment="1" applyProtection="1">
      <alignment horizontal="center" vertical="center"/>
      <protection locked="0"/>
    </xf>
    <xf numFmtId="0" fontId="25" fillId="42" borderId="16" xfId="0" applyFont="1" applyFill="1" applyBorder="1" applyAlignment="1" applyProtection="1">
      <alignment horizontal="center" vertical="center"/>
      <protection locked="0"/>
    </xf>
    <xf numFmtId="0" fontId="25" fillId="42" borderId="13" xfId="0" applyFont="1" applyFill="1" applyBorder="1" applyAlignment="1" applyProtection="1">
      <alignment horizontal="center" vertical="center"/>
      <protection locked="0"/>
    </xf>
    <xf numFmtId="0" fontId="25" fillId="0" borderId="17" xfId="0" applyFont="1" applyFill="1" applyBorder="1" applyAlignment="1" applyProtection="1">
      <alignment horizontal="center" vertical="center" wrapText="1"/>
      <protection locked="0"/>
    </xf>
    <xf numFmtId="0" fontId="25" fillId="0" borderId="21" xfId="0" applyFont="1" applyFill="1" applyBorder="1" applyAlignment="1" applyProtection="1">
      <alignment horizontal="center" vertical="center" wrapText="1"/>
      <protection locked="0"/>
    </xf>
    <xf numFmtId="0" fontId="25" fillId="0" borderId="25" xfId="0" applyFont="1" applyFill="1" applyBorder="1" applyAlignment="1" applyProtection="1">
      <alignment horizontal="center" vertical="center" wrapText="1"/>
      <protection locked="0"/>
    </xf>
    <xf numFmtId="0" fontId="25" fillId="43" borderId="18" xfId="0" applyFont="1" applyFill="1" applyBorder="1" applyAlignment="1" applyProtection="1">
      <alignment horizontal="center" vertical="center"/>
      <protection locked="0"/>
    </xf>
    <xf numFmtId="0" fontId="25" fillId="43" borderId="16" xfId="0" applyFont="1" applyFill="1" applyBorder="1" applyAlignment="1" applyProtection="1">
      <alignment horizontal="center" vertical="center"/>
      <protection locked="0"/>
    </xf>
    <xf numFmtId="0" fontId="25" fillId="43" borderId="11" xfId="0" applyFont="1" applyFill="1" applyBorder="1" applyAlignment="1" applyProtection="1">
      <alignment horizontal="center" vertical="center"/>
      <protection locked="0"/>
    </xf>
    <xf numFmtId="0" fontId="25" fillId="43" borderId="13" xfId="0" applyFont="1" applyFill="1" applyBorder="1" applyAlignment="1" applyProtection="1">
      <alignment horizontal="center" vertical="center"/>
      <protection locked="0"/>
    </xf>
    <xf numFmtId="0" fontId="25" fillId="44" borderId="16" xfId="0" applyFont="1" applyFill="1" applyBorder="1" applyAlignment="1" applyProtection="1">
      <alignment horizontal="center" vertical="center"/>
      <protection locked="0"/>
    </xf>
    <xf numFmtId="0" fontId="25" fillId="44" borderId="17" xfId="0" applyFont="1" applyFill="1" applyBorder="1" applyAlignment="1" applyProtection="1">
      <alignment horizontal="center" vertical="center"/>
      <protection locked="0"/>
    </xf>
    <xf numFmtId="0" fontId="25" fillId="44" borderId="13" xfId="0" applyFont="1" applyFill="1" applyBorder="1" applyAlignment="1" applyProtection="1">
      <alignment horizontal="center" vertical="center"/>
      <protection locked="0"/>
    </xf>
    <xf numFmtId="0" fontId="25" fillId="44" borderId="21" xfId="0" applyFont="1" applyFill="1" applyBorder="1" applyAlignment="1" applyProtection="1">
      <alignment horizontal="center" vertical="center"/>
      <protection locked="0"/>
    </xf>
    <xf numFmtId="0" fontId="25" fillId="0" borderId="20" xfId="0" applyFont="1" applyFill="1" applyBorder="1" applyAlignment="1" applyProtection="1">
      <alignment horizontal="center" vertical="center"/>
      <protection locked="0"/>
    </xf>
    <xf numFmtId="0" fontId="25" fillId="0" borderId="13" xfId="0" applyFont="1" applyFill="1" applyBorder="1" applyAlignment="1" applyProtection="1">
      <alignment horizontal="center" vertical="center"/>
      <protection locked="0"/>
    </xf>
    <xf numFmtId="0" fontId="25" fillId="0" borderId="11" xfId="0" applyFont="1" applyFill="1" applyBorder="1" applyAlignment="1" applyProtection="1">
      <alignment horizontal="center" vertical="center"/>
      <protection locked="0"/>
    </xf>
    <xf numFmtId="0" fontId="25" fillId="0" borderId="21" xfId="0" applyFont="1" applyFill="1" applyBorder="1" applyAlignment="1" applyProtection="1">
      <alignment horizontal="center" vertical="center"/>
      <protection locked="0"/>
    </xf>
    <xf numFmtId="0" fontId="24" fillId="36" borderId="16" xfId="0" applyFont="1" applyFill="1" applyBorder="1" applyAlignment="1" applyProtection="1">
      <alignment horizontal="center" vertical="center"/>
      <protection locked="0"/>
    </xf>
    <xf numFmtId="0" fontId="24" fillId="36" borderId="17" xfId="0" applyFont="1" applyFill="1" applyBorder="1" applyAlignment="1" applyProtection="1">
      <alignment horizontal="center" vertical="center"/>
      <protection locked="0"/>
    </xf>
    <xf numFmtId="0" fontId="24" fillId="36" borderId="13" xfId="0" applyFont="1" applyFill="1" applyBorder="1" applyAlignment="1" applyProtection="1">
      <alignment horizontal="center" vertical="center"/>
      <protection locked="0"/>
    </xf>
    <xf numFmtId="0" fontId="24" fillId="36" borderId="21" xfId="0" applyFont="1" applyFill="1" applyBorder="1" applyAlignment="1" applyProtection="1">
      <alignment horizontal="center" vertical="center"/>
      <protection locked="0"/>
    </xf>
    <xf numFmtId="0" fontId="24" fillId="0" borderId="20" xfId="0" applyFont="1" applyBorder="1" applyAlignment="1" applyProtection="1">
      <alignment horizontal="center" vertical="center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0" fontId="24" fillId="0" borderId="11" xfId="0" applyFont="1" applyBorder="1" applyAlignment="1" applyProtection="1">
      <alignment horizontal="center" vertical="center"/>
      <protection locked="0"/>
    </xf>
    <xf numFmtId="0" fontId="24" fillId="0" borderId="21" xfId="0" applyFont="1" applyBorder="1" applyAlignment="1" applyProtection="1">
      <alignment horizontal="center" vertical="center"/>
      <protection locked="0"/>
    </xf>
    <xf numFmtId="0" fontId="24" fillId="33" borderId="15" xfId="0" applyFont="1" applyFill="1" applyBorder="1" applyAlignment="1" applyProtection="1">
      <alignment horizontal="center" vertical="center"/>
      <protection locked="0"/>
    </xf>
    <xf numFmtId="0" fontId="24" fillId="33" borderId="16" xfId="0" applyFont="1" applyFill="1" applyBorder="1" applyAlignment="1" applyProtection="1">
      <alignment horizontal="center" vertical="center"/>
      <protection locked="0"/>
    </xf>
    <xf numFmtId="0" fontId="24" fillId="33" borderId="20" xfId="0" applyFont="1" applyFill="1" applyBorder="1" applyAlignment="1" applyProtection="1">
      <alignment horizontal="center" vertical="center"/>
      <protection locked="0"/>
    </xf>
    <xf numFmtId="0" fontId="24" fillId="33" borderId="13" xfId="0" applyFont="1" applyFill="1" applyBorder="1" applyAlignment="1" applyProtection="1">
      <alignment horizontal="center" vertical="center"/>
      <protection locked="0"/>
    </xf>
    <xf numFmtId="0" fontId="24" fillId="34" borderId="16" xfId="0" applyFont="1" applyFill="1" applyBorder="1" applyAlignment="1" applyProtection="1">
      <alignment horizontal="center" vertical="center"/>
      <protection locked="0"/>
    </xf>
    <xf numFmtId="0" fontId="24" fillId="34" borderId="13" xfId="0" applyFont="1" applyFill="1" applyBorder="1" applyAlignment="1" applyProtection="1">
      <alignment horizontal="center" vertical="center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21" xfId="0" applyFont="1" applyBorder="1" applyAlignment="1" applyProtection="1">
      <alignment horizontal="center" vertical="center" wrapText="1"/>
      <protection locked="0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24" fillId="35" borderId="18" xfId="0" applyFont="1" applyFill="1" applyBorder="1" applyAlignment="1" applyProtection="1">
      <alignment horizontal="center" vertical="center"/>
      <protection locked="0"/>
    </xf>
    <xf numFmtId="0" fontId="24" fillId="35" borderId="16" xfId="0" applyFont="1" applyFill="1" applyBorder="1" applyAlignment="1" applyProtection="1">
      <alignment horizontal="center" vertical="center"/>
      <protection locked="0"/>
    </xf>
    <xf numFmtId="0" fontId="24" fillId="35" borderId="11" xfId="0" applyFont="1" applyFill="1" applyBorder="1" applyAlignment="1" applyProtection="1">
      <alignment horizontal="center" vertical="center"/>
      <protection locked="0"/>
    </xf>
    <xf numFmtId="0" fontId="24" fillId="35" borderId="13" xfId="0" applyFont="1" applyFill="1" applyBorder="1" applyAlignment="1" applyProtection="1">
      <alignment horizontal="center" vertical="center"/>
      <protection locked="0"/>
    </xf>
  </cellXfs>
  <cellStyles count="48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Norm੎੎" xfId="42"/>
    <cellStyle name="Norm੎੎ 2" xfId="43"/>
    <cellStyle name="Normal 13" xfId="47"/>
    <cellStyle name="一般" xfId="0" builtinId="0"/>
    <cellStyle name="一般 2" xfId="46"/>
    <cellStyle name="一般 2 2" xfId="45"/>
    <cellStyle name="一般 39" xfId="44"/>
    <cellStyle name="中等" xfId="8" builtinId="28" customBuiltin="1"/>
    <cellStyle name="備註" xfId="15" builtinId="10" customBuiltin="1"/>
    <cellStyle name="合計" xfId="17" builtinId="25" customBuiltin="1"/>
    <cellStyle name="壞" xfId="7" builtinId="27" customBuiltin="1"/>
    <cellStyle name="好" xfId="6" builtinId="26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檢查儲存格" xfId="13" builtinId="23" customBuiltin="1"/>
    <cellStyle name="計算方式" xfId="11" builtinId="22" customBuiltin="1"/>
    <cellStyle name="說明文字" xfId="16" builtinId="53" customBuiltin="1"/>
    <cellStyle name="警告文字" xfId="14" builtinId="11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輸入" xfId="9" builtinId="20" customBuiltin="1"/>
    <cellStyle name="輸出" xfId="10" builtinId="21" customBuiltin="1"/>
    <cellStyle name="連結的儲存格" xfId="12" builtinId="24" customBuiltin="1"/>
  </cellStyles>
  <dxfs count="0"/>
  <tableStyles count="0" defaultTableStyle="TableStyleMedium2" defaultPivotStyle="PivotStyleLight16"/>
  <colors>
    <mruColors>
      <color rgb="FF0000CC"/>
      <color rgb="FFF4791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12</xdr:row>
          <xdr:rowOff>257175</xdr:rowOff>
        </xdr:from>
        <xdr:to>
          <xdr:col>15</xdr:col>
          <xdr:colOff>361950</xdr:colOff>
          <xdr:row>15</xdr:row>
          <xdr:rowOff>285750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TW" altLang="en-US" sz="2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4. 點此開始分析!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217715</xdr:colOff>
      <xdr:row>4</xdr:row>
      <xdr:rowOff>108856</xdr:rowOff>
    </xdr:from>
    <xdr:to>
      <xdr:col>14</xdr:col>
      <xdr:colOff>421821</xdr:colOff>
      <xdr:row>4</xdr:row>
      <xdr:rowOff>585104</xdr:rowOff>
    </xdr:to>
    <xdr:sp macro="" textlink="">
      <xdr:nvSpPr>
        <xdr:cNvPr id="2" name="向上箭號 1"/>
        <xdr:cNvSpPr/>
      </xdr:nvSpPr>
      <xdr:spPr>
        <a:xfrm rot="16200000">
          <a:off x="13484680" y="176891"/>
          <a:ext cx="476248" cy="884463"/>
        </a:xfrm>
        <a:prstGeom prst="up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231320</xdr:colOff>
      <xdr:row>5</xdr:row>
      <xdr:rowOff>176895</xdr:rowOff>
    </xdr:from>
    <xdr:to>
      <xdr:col>14</xdr:col>
      <xdr:colOff>435426</xdr:colOff>
      <xdr:row>5</xdr:row>
      <xdr:rowOff>653143</xdr:rowOff>
    </xdr:to>
    <xdr:sp macro="" textlink="">
      <xdr:nvSpPr>
        <xdr:cNvPr id="5" name="向上箭號 4"/>
        <xdr:cNvSpPr/>
      </xdr:nvSpPr>
      <xdr:spPr>
        <a:xfrm rot="16200000">
          <a:off x="13498285" y="925287"/>
          <a:ext cx="476248" cy="884463"/>
        </a:xfrm>
        <a:prstGeom prst="up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231320</xdr:colOff>
      <xdr:row>11</xdr:row>
      <xdr:rowOff>54428</xdr:rowOff>
    </xdr:from>
    <xdr:to>
      <xdr:col>14</xdr:col>
      <xdr:colOff>435426</xdr:colOff>
      <xdr:row>11</xdr:row>
      <xdr:rowOff>544280</xdr:rowOff>
    </xdr:to>
    <xdr:sp macro="" textlink="">
      <xdr:nvSpPr>
        <xdr:cNvPr id="6" name="向上箭號 5"/>
        <xdr:cNvSpPr/>
      </xdr:nvSpPr>
      <xdr:spPr>
        <a:xfrm rot="16200000">
          <a:off x="13491483" y="1449158"/>
          <a:ext cx="489852" cy="884463"/>
        </a:xfrm>
        <a:prstGeom prst="up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123"/>
  <sheetViews>
    <sheetView tabSelected="1" topLeftCell="A14" zoomScale="70" zoomScaleNormal="70" workbookViewId="0">
      <selection activeCell="M6" sqref="M6"/>
    </sheetView>
  </sheetViews>
  <sheetFormatPr defaultRowHeight="18.75"/>
  <cols>
    <col min="1" max="1" width="3.875" style="214" customWidth="1"/>
    <col min="2" max="2" width="21.5" style="142" bestFit="1" customWidth="1"/>
    <col min="3" max="3" width="10.875" style="142" customWidth="1"/>
    <col min="4" max="4" width="21.5" style="143" bestFit="1" customWidth="1"/>
    <col min="5" max="5" width="10.875" style="143" customWidth="1"/>
    <col min="6" max="6" width="21.5" style="142" bestFit="1" customWidth="1"/>
    <col min="7" max="7" width="17.375" style="20" customWidth="1"/>
    <col min="8" max="8" width="13.875" style="19" customWidth="1"/>
    <col min="9" max="9" width="14.75" style="142" customWidth="1"/>
    <col min="10" max="10" width="13.875" style="142" customWidth="1"/>
    <col min="11" max="11" width="14.75" style="142" customWidth="1"/>
    <col min="12" max="12" width="42.25" style="142" customWidth="1"/>
    <col min="13" max="13" width="27.625" style="142" bestFit="1" customWidth="1"/>
    <col min="14" max="16" width="9" style="142"/>
    <col min="17" max="17" width="11.75" style="142" customWidth="1"/>
    <col min="18" max="16384" width="9" style="142"/>
  </cols>
  <sheetData>
    <row r="1" spans="1:18" ht="10.5" customHeight="1" thickBot="1"/>
    <row r="2" spans="1:18" ht="30.75" hidden="1" customHeight="1" thickBot="1"/>
    <row r="3" spans="1:18" ht="30.75" hidden="1" customHeight="1" thickBot="1"/>
    <row r="4" spans="1:18" ht="30.75" hidden="1" customHeight="1" thickBot="1">
      <c r="A4" s="215"/>
      <c r="D4" s="18"/>
      <c r="E4" s="18"/>
      <c r="F4" s="19"/>
      <c r="L4" s="144"/>
      <c r="M4" s="144"/>
    </row>
    <row r="5" spans="1:18" ht="54" customHeight="1" thickBot="1">
      <c r="A5" s="216"/>
      <c r="B5" s="324" t="s">
        <v>239</v>
      </c>
      <c r="C5" s="325"/>
      <c r="D5" s="325"/>
      <c r="E5" s="325"/>
      <c r="F5" s="309" t="s">
        <v>215</v>
      </c>
      <c r="G5" s="309"/>
      <c r="H5" s="309"/>
      <c r="I5" s="309"/>
      <c r="J5" s="309"/>
      <c r="K5" s="309"/>
      <c r="L5" s="145" t="s">
        <v>179</v>
      </c>
      <c r="M5" s="182">
        <v>30</v>
      </c>
      <c r="P5" s="236" t="s">
        <v>180</v>
      </c>
      <c r="Q5" s="236"/>
    </row>
    <row r="6" spans="1:18" ht="60.75" customHeight="1" thickBot="1">
      <c r="A6" s="216"/>
      <c r="B6" s="326"/>
      <c r="C6" s="327"/>
      <c r="D6" s="327"/>
      <c r="E6" s="327"/>
      <c r="F6" s="310"/>
      <c r="G6" s="310"/>
      <c r="H6" s="310"/>
      <c r="I6" s="310"/>
      <c r="J6" s="310"/>
      <c r="K6" s="310"/>
      <c r="L6" s="146" t="s">
        <v>181</v>
      </c>
      <c r="M6" s="4" t="s">
        <v>243</v>
      </c>
      <c r="P6" s="236" t="s">
        <v>182</v>
      </c>
      <c r="Q6" s="236"/>
    </row>
    <row r="7" spans="1:18" ht="21" hidden="1" customHeight="1">
      <c r="B7" s="311"/>
      <c r="C7" s="311"/>
      <c r="D7" s="311"/>
      <c r="L7" s="257"/>
      <c r="M7" s="258"/>
    </row>
    <row r="8" spans="1:18" ht="15.75" hidden="1" customHeight="1">
      <c r="B8" s="312"/>
      <c r="C8" s="312"/>
      <c r="D8" s="312"/>
      <c r="L8" s="259"/>
      <c r="M8" s="260"/>
    </row>
    <row r="9" spans="1:18" ht="20.25" hidden="1" customHeight="1">
      <c r="B9" s="313"/>
      <c r="C9" s="313"/>
      <c r="D9" s="313"/>
      <c r="L9" s="259"/>
      <c r="M9" s="260"/>
    </row>
    <row r="10" spans="1:18" ht="19.5" hidden="1" thickBot="1">
      <c r="B10" s="314"/>
      <c r="C10" s="314"/>
      <c r="D10" s="314"/>
      <c r="L10" s="261"/>
      <c r="M10" s="262"/>
    </row>
    <row r="11" spans="1:18" ht="2.25" hidden="1" customHeight="1" thickBot="1"/>
    <row r="12" spans="1:18" ht="43.5" customHeight="1" thickBot="1">
      <c r="B12" s="237"/>
      <c r="C12" s="239" t="s">
        <v>4</v>
      </c>
      <c r="D12" s="240"/>
      <c r="E12" s="243" t="s">
        <v>5</v>
      </c>
      <c r="F12" s="244"/>
      <c r="G12" s="247" t="s">
        <v>6</v>
      </c>
      <c r="H12" s="250" t="s">
        <v>7</v>
      </c>
      <c r="I12" s="251"/>
      <c r="J12" s="263" t="s">
        <v>8</v>
      </c>
      <c r="K12" s="264"/>
      <c r="L12" s="147" t="s">
        <v>109</v>
      </c>
      <c r="M12" s="5">
        <v>0</v>
      </c>
      <c r="P12" s="148" t="s">
        <v>183</v>
      </c>
      <c r="Q12" s="148"/>
      <c r="R12" s="148"/>
    </row>
    <row r="13" spans="1:18" ht="21" customHeight="1">
      <c r="B13" s="238"/>
      <c r="C13" s="241"/>
      <c r="D13" s="242"/>
      <c r="E13" s="245"/>
      <c r="F13" s="246"/>
      <c r="G13" s="248"/>
      <c r="H13" s="252"/>
      <c r="I13" s="253"/>
      <c r="J13" s="265"/>
      <c r="K13" s="266"/>
    </row>
    <row r="14" spans="1:18">
      <c r="B14" s="6" t="s">
        <v>9</v>
      </c>
      <c r="C14" s="254" t="s">
        <v>10</v>
      </c>
      <c r="D14" s="255"/>
      <c r="E14" s="256" t="s">
        <v>10</v>
      </c>
      <c r="F14" s="255"/>
      <c r="G14" s="248"/>
      <c r="H14" s="254" t="s">
        <v>10</v>
      </c>
      <c r="I14" s="255"/>
      <c r="J14" s="256" t="s">
        <v>10</v>
      </c>
      <c r="K14" s="267"/>
    </row>
    <row r="15" spans="1:18" ht="19.5" thickBot="1">
      <c r="B15" s="7" t="s">
        <v>11</v>
      </c>
      <c r="C15" s="8" t="s">
        <v>44</v>
      </c>
      <c r="D15" s="9" t="s">
        <v>45</v>
      </c>
      <c r="E15" s="9" t="s">
        <v>46</v>
      </c>
      <c r="F15" s="9" t="s">
        <v>47</v>
      </c>
      <c r="G15" s="249"/>
      <c r="H15" s="10" t="s">
        <v>50</v>
      </c>
      <c r="I15" s="9" t="s">
        <v>51</v>
      </c>
      <c r="J15" s="9" t="s">
        <v>53</v>
      </c>
      <c r="K15" s="11" t="s">
        <v>54</v>
      </c>
    </row>
    <row r="16" spans="1:18" ht="27.75" customHeight="1" thickBot="1">
      <c r="A16" s="217" t="s">
        <v>18</v>
      </c>
      <c r="B16" s="89">
        <v>30</v>
      </c>
      <c r="C16" s="130">
        <v>2305</v>
      </c>
      <c r="D16" s="131">
        <v>2315</v>
      </c>
      <c r="E16" s="131">
        <v>2350</v>
      </c>
      <c r="F16" s="131">
        <v>2360</v>
      </c>
      <c r="G16" s="3" t="s">
        <v>240</v>
      </c>
      <c r="H16" s="104">
        <v>4610</v>
      </c>
      <c r="I16" s="105">
        <v>4630</v>
      </c>
      <c r="J16" s="105">
        <v>6915</v>
      </c>
      <c r="K16" s="106">
        <v>6945</v>
      </c>
      <c r="L16" s="2"/>
    </row>
    <row r="17" spans="1:12" ht="28.5" customHeight="1" thickBot="1">
      <c r="A17" s="217" t="s">
        <v>19</v>
      </c>
      <c r="B17" s="201" t="s">
        <v>211</v>
      </c>
      <c r="C17" s="202">
        <v>2402</v>
      </c>
      <c r="D17" s="202">
        <v>2494</v>
      </c>
      <c r="E17" s="202">
        <v>2402</v>
      </c>
      <c r="F17" s="202">
        <v>2494</v>
      </c>
      <c r="G17" s="203" t="s">
        <v>213</v>
      </c>
      <c r="H17" s="204">
        <v>4804</v>
      </c>
      <c r="I17" s="204">
        <v>4988</v>
      </c>
      <c r="J17" s="204">
        <v>7206</v>
      </c>
      <c r="K17" s="205">
        <v>7482</v>
      </c>
      <c r="L17" s="2"/>
    </row>
    <row r="18" spans="1:12" hidden="1">
      <c r="D18" s="142"/>
      <c r="E18" s="142"/>
      <c r="G18" s="142"/>
      <c r="H18" s="142"/>
    </row>
    <row r="19" spans="1:12" ht="31.5" hidden="1">
      <c r="B19" s="12">
        <v>12</v>
      </c>
      <c r="C19" s="13" t="s">
        <v>34</v>
      </c>
      <c r="D19" s="14" t="s">
        <v>35</v>
      </c>
      <c r="E19" s="15" t="s">
        <v>22</v>
      </c>
      <c r="F19" s="15" t="s">
        <v>23</v>
      </c>
      <c r="G19" s="16" t="s">
        <v>12</v>
      </c>
      <c r="H19" s="13" t="s">
        <v>40</v>
      </c>
      <c r="I19" s="14" t="s">
        <v>41</v>
      </c>
      <c r="J19" s="13" t="s">
        <v>42</v>
      </c>
      <c r="K19" s="14" t="s">
        <v>43</v>
      </c>
    </row>
    <row r="20" spans="1:12" ht="31.5" hidden="1">
      <c r="B20" s="12">
        <v>28</v>
      </c>
      <c r="C20" s="17" t="s">
        <v>29</v>
      </c>
      <c r="D20" s="15" t="s">
        <v>21</v>
      </c>
      <c r="E20" s="14" t="s">
        <v>36</v>
      </c>
      <c r="F20" s="14" t="s">
        <v>37</v>
      </c>
      <c r="G20" s="16" t="s">
        <v>12</v>
      </c>
      <c r="H20" s="17" t="s">
        <v>30</v>
      </c>
      <c r="I20" s="15" t="s">
        <v>31</v>
      </c>
      <c r="J20" s="17" t="s">
        <v>32</v>
      </c>
      <c r="K20" s="15" t="s">
        <v>33</v>
      </c>
    </row>
    <row r="21" spans="1:12" hidden="1">
      <c r="C21" s="142">
        <v>0</v>
      </c>
      <c r="D21" s="142"/>
      <c r="E21" s="142"/>
      <c r="G21" s="142"/>
      <c r="H21" s="142">
        <v>0</v>
      </c>
      <c r="J21" s="142">
        <v>0</v>
      </c>
    </row>
    <row r="22" spans="1:12" ht="19.5" hidden="1" thickBot="1">
      <c r="C22" s="142">
        <v>0</v>
      </c>
      <c r="D22" s="142"/>
      <c r="E22" s="142"/>
      <c r="G22" s="142"/>
      <c r="H22" s="142">
        <v>0</v>
      </c>
      <c r="J22" s="142">
        <v>0</v>
      </c>
    </row>
    <row r="23" spans="1:12" ht="21" hidden="1" thickBot="1">
      <c r="B23" s="303" t="s">
        <v>184</v>
      </c>
      <c r="C23" s="304"/>
      <c r="D23" s="304"/>
      <c r="E23" s="304"/>
      <c r="F23" s="304"/>
      <c r="G23" s="304"/>
      <c r="H23" s="304"/>
      <c r="I23" s="304"/>
      <c r="J23" s="305"/>
    </row>
    <row r="24" spans="1:12">
      <c r="A24" s="328"/>
      <c r="B24" s="275" t="s">
        <v>25</v>
      </c>
      <c r="C24" s="281" t="s">
        <v>191</v>
      </c>
      <c r="D24" s="284" t="s">
        <v>24</v>
      </c>
      <c r="E24" s="291" t="s">
        <v>26</v>
      </c>
      <c r="F24" s="315" t="s">
        <v>185</v>
      </c>
      <c r="G24" s="316"/>
      <c r="H24" s="316"/>
      <c r="I24" s="316"/>
      <c r="J24" s="317"/>
      <c r="K24" s="273" t="s">
        <v>152</v>
      </c>
      <c r="L24" s="268" t="s">
        <v>153</v>
      </c>
    </row>
    <row r="25" spans="1:12">
      <c r="A25" s="328"/>
      <c r="B25" s="276"/>
      <c r="C25" s="282"/>
      <c r="D25" s="285"/>
      <c r="E25" s="292"/>
      <c r="F25" s="318"/>
      <c r="G25" s="319"/>
      <c r="H25" s="319"/>
      <c r="I25" s="319"/>
      <c r="J25" s="320"/>
      <c r="K25" s="274"/>
      <c r="L25" s="269"/>
    </row>
    <row r="26" spans="1:12">
      <c r="A26" s="328"/>
      <c r="B26" s="277"/>
      <c r="C26" s="282"/>
      <c r="D26" s="285"/>
      <c r="E26" s="292" t="s">
        <v>27</v>
      </c>
      <c r="F26" s="318"/>
      <c r="G26" s="319"/>
      <c r="H26" s="319"/>
      <c r="I26" s="319"/>
      <c r="J26" s="320"/>
      <c r="K26" s="271" t="s">
        <v>152</v>
      </c>
      <c r="L26" s="269"/>
    </row>
    <row r="27" spans="1:12">
      <c r="A27" s="328"/>
      <c r="B27" s="278">
        <v>30</v>
      </c>
      <c r="C27" s="282"/>
      <c r="D27" s="286" t="s">
        <v>242</v>
      </c>
      <c r="E27" s="292"/>
      <c r="F27" s="318"/>
      <c r="G27" s="319"/>
      <c r="H27" s="319"/>
      <c r="I27" s="319"/>
      <c r="J27" s="320"/>
      <c r="K27" s="274"/>
      <c r="L27" s="269"/>
    </row>
    <row r="28" spans="1:12">
      <c r="A28" s="328"/>
      <c r="B28" s="279"/>
      <c r="C28" s="282"/>
      <c r="D28" s="286"/>
      <c r="E28" s="292" t="s">
        <v>28</v>
      </c>
      <c r="F28" s="318"/>
      <c r="G28" s="319"/>
      <c r="H28" s="319"/>
      <c r="I28" s="319"/>
      <c r="J28" s="320"/>
      <c r="K28" s="271" t="s">
        <v>152</v>
      </c>
      <c r="L28" s="269"/>
    </row>
    <row r="29" spans="1:12" ht="19.5" thickBot="1">
      <c r="A29" s="328"/>
      <c r="B29" s="280"/>
      <c r="C29" s="283"/>
      <c r="D29" s="287"/>
      <c r="E29" s="302"/>
      <c r="F29" s="321"/>
      <c r="G29" s="322"/>
      <c r="H29" s="322"/>
      <c r="I29" s="322"/>
      <c r="J29" s="323"/>
      <c r="K29" s="272"/>
      <c r="L29" s="270"/>
    </row>
    <row r="30" spans="1:12" ht="15.75" hidden="1" customHeight="1" thickBot="1">
      <c r="A30" s="218"/>
      <c r="B30" s="151"/>
      <c r="C30" s="151"/>
      <c r="D30" s="151"/>
      <c r="E30" s="151"/>
      <c r="F30" s="151"/>
      <c r="G30" s="151"/>
      <c r="H30" s="151"/>
      <c r="I30" s="151"/>
      <c r="J30" s="151"/>
      <c r="K30" s="152"/>
      <c r="L30" s="143"/>
    </row>
    <row r="31" spans="1:12" ht="39.75" hidden="1" thickBot="1">
      <c r="B31" s="306" t="s">
        <v>186</v>
      </c>
      <c r="C31" s="307"/>
      <c r="D31" s="307"/>
      <c r="E31" s="307"/>
      <c r="F31" s="307"/>
      <c r="G31" s="307"/>
      <c r="H31" s="307"/>
      <c r="I31" s="307"/>
      <c r="J31" s="308"/>
      <c r="K31" s="153"/>
    </row>
    <row r="32" spans="1:12" ht="20.25" customHeight="1">
      <c r="A32" s="329"/>
      <c r="B32" s="275" t="s">
        <v>20</v>
      </c>
      <c r="C32" s="288" t="s">
        <v>191</v>
      </c>
      <c r="D32" s="284" t="s">
        <v>20</v>
      </c>
      <c r="E32" s="291" t="s">
        <v>38</v>
      </c>
      <c r="F32" s="293" t="s">
        <v>185</v>
      </c>
      <c r="G32" s="294"/>
      <c r="H32" s="294"/>
      <c r="I32" s="294"/>
      <c r="J32" s="295"/>
      <c r="K32" s="273" t="s">
        <v>152</v>
      </c>
      <c r="L32" s="268" t="s">
        <v>153</v>
      </c>
    </row>
    <row r="33" spans="1:12" ht="20.25" customHeight="1">
      <c r="A33" s="329"/>
      <c r="B33" s="276"/>
      <c r="C33" s="289"/>
      <c r="D33" s="285"/>
      <c r="E33" s="292"/>
      <c r="F33" s="296"/>
      <c r="G33" s="297"/>
      <c r="H33" s="297"/>
      <c r="I33" s="297"/>
      <c r="J33" s="298"/>
      <c r="K33" s="274"/>
      <c r="L33" s="269"/>
    </row>
    <row r="34" spans="1:12" ht="20.25" customHeight="1">
      <c r="A34" s="329"/>
      <c r="B34" s="277"/>
      <c r="C34" s="289"/>
      <c r="D34" s="285"/>
      <c r="E34" s="292" t="s">
        <v>188</v>
      </c>
      <c r="F34" s="296"/>
      <c r="G34" s="297"/>
      <c r="H34" s="297"/>
      <c r="I34" s="297"/>
      <c r="J34" s="298"/>
      <c r="K34" s="271" t="s">
        <v>152</v>
      </c>
      <c r="L34" s="269"/>
    </row>
    <row r="35" spans="1:12" ht="20.25" customHeight="1">
      <c r="A35" s="329"/>
      <c r="B35" s="278" t="s">
        <v>242</v>
      </c>
      <c r="C35" s="289"/>
      <c r="D35" s="286">
        <v>30</v>
      </c>
      <c r="E35" s="292"/>
      <c r="F35" s="296"/>
      <c r="G35" s="297"/>
      <c r="H35" s="297"/>
      <c r="I35" s="297"/>
      <c r="J35" s="298"/>
      <c r="K35" s="274"/>
      <c r="L35" s="269"/>
    </row>
    <row r="36" spans="1:12" ht="20.25" customHeight="1">
      <c r="A36" s="329"/>
      <c r="B36" s="279"/>
      <c r="C36" s="289"/>
      <c r="D36" s="286"/>
      <c r="E36" s="292" t="s">
        <v>39</v>
      </c>
      <c r="F36" s="296"/>
      <c r="G36" s="297"/>
      <c r="H36" s="297"/>
      <c r="I36" s="297"/>
      <c r="J36" s="298"/>
      <c r="K36" s="271" t="s">
        <v>152</v>
      </c>
      <c r="L36" s="269"/>
    </row>
    <row r="37" spans="1:12" ht="20.25" customHeight="1" thickBot="1">
      <c r="A37" s="329"/>
      <c r="B37" s="280"/>
      <c r="C37" s="290"/>
      <c r="D37" s="287"/>
      <c r="E37" s="302"/>
      <c r="F37" s="299"/>
      <c r="G37" s="300"/>
      <c r="H37" s="300"/>
      <c r="I37" s="300"/>
      <c r="J37" s="301"/>
      <c r="K37" s="272"/>
      <c r="L37" s="270"/>
    </row>
    <row r="38" spans="1:12" hidden="1">
      <c r="B38" s="142">
        <v>0</v>
      </c>
      <c r="C38" s="142">
        <v>0</v>
      </c>
      <c r="D38" s="143">
        <v>0</v>
      </c>
    </row>
    <row r="39" spans="1:12" hidden="1">
      <c r="B39" s="142">
        <v>1</v>
      </c>
      <c r="C39" s="142">
        <v>1</v>
      </c>
    </row>
    <row r="41" spans="1:12" ht="18.75" customHeight="1">
      <c r="A41" s="214" t="s">
        <v>221</v>
      </c>
      <c r="B41" s="222">
        <v>30</v>
      </c>
      <c r="C41" s="224" t="s">
        <v>190</v>
      </c>
      <c r="D41" s="222">
        <v>30</v>
      </c>
      <c r="E41" s="224" t="s">
        <v>189</v>
      </c>
      <c r="F41" s="222" t="s">
        <v>242</v>
      </c>
      <c r="G41" s="230" t="s">
        <v>187</v>
      </c>
      <c r="H41" s="232" t="s">
        <v>232</v>
      </c>
      <c r="I41" s="233"/>
      <c r="J41" s="233"/>
      <c r="K41" s="233"/>
      <c r="L41" s="220" t="s">
        <v>227</v>
      </c>
    </row>
    <row r="42" spans="1:12" ht="18.75" customHeight="1">
      <c r="B42" s="223"/>
      <c r="C42" s="225"/>
      <c r="D42" s="223"/>
      <c r="E42" s="226"/>
      <c r="F42" s="223"/>
      <c r="G42" s="231"/>
      <c r="H42" s="233"/>
      <c r="I42" s="233"/>
      <c r="J42" s="233"/>
      <c r="K42" s="233"/>
      <c r="L42" s="221"/>
    </row>
    <row r="43" spans="1:12" s="143" customFormat="1" ht="18.75" customHeight="1">
      <c r="A43" s="219"/>
      <c r="B43" s="223"/>
      <c r="C43" s="225"/>
      <c r="D43" s="223"/>
      <c r="E43" s="226"/>
      <c r="F43" s="223"/>
      <c r="G43" s="231"/>
      <c r="H43" s="233"/>
      <c r="I43" s="233"/>
      <c r="J43" s="233"/>
      <c r="K43" s="233"/>
      <c r="L43" s="221"/>
    </row>
    <row r="44" spans="1:12" s="143" customFormat="1">
      <c r="A44" s="219"/>
      <c r="B44" s="222">
        <v>30</v>
      </c>
      <c r="C44" s="224" t="s">
        <v>190</v>
      </c>
      <c r="D44" s="222" t="s">
        <v>242</v>
      </c>
      <c r="E44" s="224" t="s">
        <v>189</v>
      </c>
      <c r="F44" s="222">
        <v>30</v>
      </c>
      <c r="G44" s="230" t="s">
        <v>187</v>
      </c>
      <c r="H44" s="232" t="s">
        <v>232</v>
      </c>
      <c r="I44" s="233"/>
      <c r="J44" s="233"/>
      <c r="K44" s="233"/>
      <c r="L44" s="220" t="s">
        <v>227</v>
      </c>
    </row>
    <row r="45" spans="1:12" s="143" customFormat="1">
      <c r="A45" s="219"/>
      <c r="B45" s="223"/>
      <c r="C45" s="225"/>
      <c r="D45" s="223"/>
      <c r="E45" s="226"/>
      <c r="F45" s="223"/>
      <c r="G45" s="231"/>
      <c r="H45" s="233"/>
      <c r="I45" s="233"/>
      <c r="J45" s="233"/>
      <c r="K45" s="233"/>
      <c r="L45" s="235"/>
    </row>
    <row r="46" spans="1:12" s="143" customFormat="1">
      <c r="A46" s="219"/>
      <c r="B46" s="223"/>
      <c r="C46" s="225"/>
      <c r="D46" s="223"/>
      <c r="E46" s="226"/>
      <c r="F46" s="223"/>
      <c r="G46" s="231"/>
      <c r="H46" s="233"/>
      <c r="I46" s="233"/>
      <c r="J46" s="233"/>
      <c r="K46" s="233"/>
      <c r="L46" s="235"/>
    </row>
    <row r="47" spans="1:12" s="143" customFormat="1">
      <c r="A47" s="219"/>
      <c r="H47" s="206"/>
      <c r="I47" s="206"/>
      <c r="J47" s="206"/>
      <c r="K47" s="206"/>
    </row>
    <row r="48" spans="1:12">
      <c r="A48" s="214" t="s">
        <v>222</v>
      </c>
      <c r="B48" s="222" t="s">
        <v>242</v>
      </c>
      <c r="C48" s="224" t="s">
        <v>190</v>
      </c>
      <c r="D48" s="222" t="s">
        <v>242</v>
      </c>
      <c r="E48" s="224" t="s">
        <v>189</v>
      </c>
      <c r="F48" s="222">
        <v>30</v>
      </c>
      <c r="G48" s="230" t="s">
        <v>187</v>
      </c>
      <c r="H48" s="232" t="s">
        <v>232</v>
      </c>
      <c r="I48" s="233"/>
      <c r="J48" s="233"/>
      <c r="K48" s="233"/>
      <c r="L48" s="221" t="s">
        <v>19</v>
      </c>
    </row>
    <row r="49" spans="1:12">
      <c r="B49" s="223"/>
      <c r="C49" s="225"/>
      <c r="D49" s="223"/>
      <c r="E49" s="226"/>
      <c r="F49" s="223"/>
      <c r="G49" s="231"/>
      <c r="H49" s="233"/>
      <c r="I49" s="233"/>
      <c r="J49" s="233"/>
      <c r="K49" s="233"/>
      <c r="L49" s="221"/>
    </row>
    <row r="50" spans="1:12">
      <c r="B50" s="223"/>
      <c r="C50" s="225"/>
      <c r="D50" s="223"/>
      <c r="E50" s="226"/>
      <c r="F50" s="223"/>
      <c r="G50" s="231"/>
      <c r="H50" s="233"/>
      <c r="I50" s="233"/>
      <c r="J50" s="233"/>
      <c r="K50" s="233"/>
      <c r="L50" s="221"/>
    </row>
    <row r="51" spans="1:12">
      <c r="B51" s="222" t="s">
        <v>242</v>
      </c>
      <c r="C51" s="224" t="s">
        <v>193</v>
      </c>
      <c r="D51" s="222">
        <v>30</v>
      </c>
      <c r="E51" s="224" t="s">
        <v>189</v>
      </c>
      <c r="F51" s="222" t="s">
        <v>242</v>
      </c>
      <c r="G51" s="230" t="s">
        <v>187</v>
      </c>
      <c r="H51" s="232" t="s">
        <v>232</v>
      </c>
      <c r="I51" s="233"/>
      <c r="J51" s="233"/>
      <c r="K51" s="233"/>
      <c r="L51" s="220" t="s">
        <v>241</v>
      </c>
    </row>
    <row r="52" spans="1:12">
      <c r="B52" s="223"/>
      <c r="C52" s="225"/>
      <c r="D52" s="223"/>
      <c r="E52" s="226"/>
      <c r="F52" s="223"/>
      <c r="G52" s="231"/>
      <c r="H52" s="233"/>
      <c r="I52" s="233"/>
      <c r="J52" s="233"/>
      <c r="K52" s="233"/>
      <c r="L52" s="221"/>
    </row>
    <row r="53" spans="1:12">
      <c r="B53" s="223"/>
      <c r="C53" s="225"/>
      <c r="D53" s="223"/>
      <c r="E53" s="226"/>
      <c r="F53" s="223"/>
      <c r="G53" s="231"/>
      <c r="H53" s="233"/>
      <c r="I53" s="233"/>
      <c r="J53" s="233"/>
      <c r="K53" s="233"/>
      <c r="L53" s="221"/>
    </row>
    <row r="54" spans="1:12">
      <c r="H54" s="207"/>
      <c r="I54" s="208"/>
      <c r="J54" s="208"/>
      <c r="K54" s="208"/>
    </row>
    <row r="55" spans="1:12" s="143" customFormat="1" ht="18.75" customHeight="1">
      <c r="A55" s="219" t="s">
        <v>223</v>
      </c>
      <c r="B55" s="222">
        <v>30</v>
      </c>
      <c r="C55" s="224" t="s">
        <v>190</v>
      </c>
      <c r="D55" s="222">
        <v>30</v>
      </c>
      <c r="E55" s="224" t="s">
        <v>196</v>
      </c>
      <c r="F55" s="222" t="s">
        <v>242</v>
      </c>
      <c r="G55" s="224" t="s">
        <v>195</v>
      </c>
      <c r="H55" s="228" t="s">
        <v>233</v>
      </c>
      <c r="I55" s="229"/>
      <c r="J55" s="229"/>
      <c r="K55" s="229"/>
      <c r="L55" s="220" t="s">
        <v>241</v>
      </c>
    </row>
    <row r="56" spans="1:12">
      <c r="B56" s="234"/>
      <c r="C56" s="227"/>
      <c r="D56" s="223"/>
      <c r="E56" s="226"/>
      <c r="F56" s="234"/>
      <c r="G56" s="227"/>
      <c r="H56" s="229"/>
      <c r="I56" s="229"/>
      <c r="J56" s="229"/>
      <c r="K56" s="229"/>
      <c r="L56" s="221"/>
    </row>
    <row r="57" spans="1:12">
      <c r="B57" s="234"/>
      <c r="C57" s="227"/>
      <c r="D57" s="223"/>
      <c r="E57" s="226"/>
      <c r="F57" s="234"/>
      <c r="G57" s="227"/>
      <c r="H57" s="229"/>
      <c r="I57" s="229"/>
      <c r="J57" s="229"/>
      <c r="K57" s="229"/>
      <c r="L57" s="221"/>
    </row>
    <row r="58" spans="1:12" ht="18.75" customHeight="1">
      <c r="B58" s="222">
        <v>30</v>
      </c>
      <c r="C58" s="224" t="s">
        <v>192</v>
      </c>
      <c r="D58" s="222" t="s">
        <v>242</v>
      </c>
      <c r="E58" s="224" t="s">
        <v>194</v>
      </c>
      <c r="F58" s="222">
        <v>30</v>
      </c>
      <c r="G58" s="224" t="s">
        <v>195</v>
      </c>
      <c r="H58" s="228" t="s">
        <v>233</v>
      </c>
      <c r="I58" s="229"/>
      <c r="J58" s="229"/>
      <c r="K58" s="229"/>
      <c r="L58" s="220" t="s">
        <v>241</v>
      </c>
    </row>
    <row r="59" spans="1:12" ht="18.75" customHeight="1">
      <c r="B59" s="234"/>
      <c r="C59" s="227"/>
      <c r="D59" s="223"/>
      <c r="E59" s="226"/>
      <c r="F59" s="234"/>
      <c r="G59" s="227"/>
      <c r="H59" s="229"/>
      <c r="I59" s="229"/>
      <c r="J59" s="229"/>
      <c r="K59" s="229"/>
      <c r="L59" s="221"/>
    </row>
    <row r="60" spans="1:12" s="143" customFormat="1" ht="18.75" customHeight="1">
      <c r="A60" s="219"/>
      <c r="B60" s="234"/>
      <c r="C60" s="227"/>
      <c r="D60" s="223"/>
      <c r="E60" s="226"/>
      <c r="F60" s="234"/>
      <c r="G60" s="227"/>
      <c r="H60" s="229"/>
      <c r="I60" s="229"/>
      <c r="J60" s="229"/>
      <c r="K60" s="229"/>
      <c r="L60" s="221"/>
    </row>
    <row r="61" spans="1:12" s="143" customFormat="1" ht="19.5" customHeight="1">
      <c r="A61" s="219"/>
      <c r="F61" s="156"/>
      <c r="H61" s="209"/>
      <c r="I61" s="206"/>
      <c r="J61" s="206"/>
      <c r="K61" s="206"/>
    </row>
    <row r="62" spans="1:12">
      <c r="A62" s="214" t="s">
        <v>224</v>
      </c>
      <c r="B62" s="222" t="s">
        <v>242</v>
      </c>
      <c r="C62" s="224" t="s">
        <v>192</v>
      </c>
      <c r="D62" s="222" t="s">
        <v>242</v>
      </c>
      <c r="E62" s="224" t="s">
        <v>194</v>
      </c>
      <c r="F62" s="222">
        <v>30</v>
      </c>
      <c r="G62" s="224" t="s">
        <v>218</v>
      </c>
      <c r="H62" s="228" t="s">
        <v>233</v>
      </c>
      <c r="I62" s="229"/>
      <c r="J62" s="229"/>
      <c r="K62" s="229"/>
      <c r="L62" s="220" t="s">
        <v>241</v>
      </c>
    </row>
    <row r="63" spans="1:12">
      <c r="B63" s="234"/>
      <c r="C63" s="227"/>
      <c r="D63" s="223"/>
      <c r="E63" s="226"/>
      <c r="F63" s="234"/>
      <c r="G63" s="227"/>
      <c r="H63" s="229"/>
      <c r="I63" s="229"/>
      <c r="J63" s="229"/>
      <c r="K63" s="229"/>
      <c r="L63" s="221"/>
    </row>
    <row r="64" spans="1:12">
      <c r="B64" s="234"/>
      <c r="C64" s="227"/>
      <c r="D64" s="223"/>
      <c r="E64" s="226"/>
      <c r="F64" s="234"/>
      <c r="G64" s="227"/>
      <c r="H64" s="229"/>
      <c r="I64" s="229"/>
      <c r="J64" s="229"/>
      <c r="K64" s="229"/>
      <c r="L64" s="221"/>
    </row>
    <row r="65" spans="1:12">
      <c r="B65" s="222" t="s">
        <v>242</v>
      </c>
      <c r="C65" s="224" t="s">
        <v>216</v>
      </c>
      <c r="D65" s="222">
        <v>30</v>
      </c>
      <c r="E65" s="224" t="s">
        <v>217</v>
      </c>
      <c r="F65" s="222" t="s">
        <v>242</v>
      </c>
      <c r="G65" s="224" t="s">
        <v>195</v>
      </c>
      <c r="H65" s="228" t="s">
        <v>233</v>
      </c>
      <c r="I65" s="229"/>
      <c r="J65" s="229"/>
      <c r="K65" s="229"/>
      <c r="L65" s="220" t="s">
        <v>241</v>
      </c>
    </row>
    <row r="66" spans="1:12" s="143" customFormat="1">
      <c r="A66" s="219"/>
      <c r="B66" s="234"/>
      <c r="C66" s="227"/>
      <c r="D66" s="223"/>
      <c r="E66" s="226"/>
      <c r="F66" s="234"/>
      <c r="G66" s="227"/>
      <c r="H66" s="229"/>
      <c r="I66" s="229"/>
      <c r="J66" s="229"/>
      <c r="K66" s="229"/>
      <c r="L66" s="221"/>
    </row>
    <row r="67" spans="1:12" s="143" customFormat="1">
      <c r="A67" s="219"/>
      <c r="B67" s="234"/>
      <c r="C67" s="227"/>
      <c r="D67" s="223"/>
      <c r="E67" s="226"/>
      <c r="F67" s="234"/>
      <c r="G67" s="227"/>
      <c r="H67" s="229"/>
      <c r="I67" s="229"/>
      <c r="J67" s="229"/>
      <c r="K67" s="229"/>
      <c r="L67" s="221"/>
    </row>
    <row r="68" spans="1:12" s="143" customFormat="1">
      <c r="A68" s="219"/>
      <c r="H68" s="209"/>
      <c r="I68" s="206"/>
      <c r="J68" s="206"/>
      <c r="K68" s="206"/>
    </row>
    <row r="69" spans="1:12" s="143" customFormat="1">
      <c r="A69" s="219"/>
      <c r="B69" s="143" t="s">
        <v>220</v>
      </c>
      <c r="H69" s="209"/>
      <c r="I69" s="206"/>
      <c r="J69" s="206"/>
      <c r="K69" s="206"/>
    </row>
    <row r="70" spans="1:12" s="143" customFormat="1" ht="18.75" customHeight="1">
      <c r="A70" s="219" t="s">
        <v>225</v>
      </c>
      <c r="B70" s="222" t="s">
        <v>219</v>
      </c>
      <c r="C70" s="224" t="s">
        <v>190</v>
      </c>
      <c r="D70" s="222">
        <v>30</v>
      </c>
      <c r="E70" s="224" t="s">
        <v>189</v>
      </c>
      <c r="F70" s="222" t="s">
        <v>242</v>
      </c>
      <c r="G70" s="230" t="s">
        <v>187</v>
      </c>
      <c r="H70" s="232" t="s">
        <v>232</v>
      </c>
      <c r="I70" s="233"/>
      <c r="J70" s="233"/>
      <c r="K70" s="233"/>
      <c r="L70" s="220" t="s">
        <v>241</v>
      </c>
    </row>
    <row r="71" spans="1:12" s="143" customFormat="1" ht="18.75" customHeight="1">
      <c r="A71" s="219"/>
      <c r="B71" s="223"/>
      <c r="C71" s="225"/>
      <c r="D71" s="223"/>
      <c r="E71" s="226"/>
      <c r="F71" s="223"/>
      <c r="G71" s="231"/>
      <c r="H71" s="233"/>
      <c r="I71" s="233"/>
      <c r="J71" s="233"/>
      <c r="K71" s="233"/>
      <c r="L71" s="221"/>
    </row>
    <row r="72" spans="1:12" s="143" customFormat="1" ht="18.75" customHeight="1">
      <c r="A72" s="219"/>
      <c r="B72" s="223"/>
      <c r="C72" s="225"/>
      <c r="D72" s="223"/>
      <c r="E72" s="226"/>
      <c r="F72" s="223"/>
      <c r="G72" s="231"/>
      <c r="H72" s="233"/>
      <c r="I72" s="233"/>
      <c r="J72" s="233"/>
      <c r="K72" s="233"/>
      <c r="L72" s="221"/>
    </row>
    <row r="73" spans="1:12" s="143" customFormat="1" ht="18.75" customHeight="1">
      <c r="A73" s="219"/>
      <c r="B73" s="222" t="s">
        <v>219</v>
      </c>
      <c r="C73" s="224" t="s">
        <v>190</v>
      </c>
      <c r="D73" s="222" t="s">
        <v>242</v>
      </c>
      <c r="E73" s="224" t="s">
        <v>189</v>
      </c>
      <c r="F73" s="222">
        <v>30</v>
      </c>
      <c r="G73" s="230" t="s">
        <v>187</v>
      </c>
      <c r="H73" s="232" t="s">
        <v>232</v>
      </c>
      <c r="I73" s="233"/>
      <c r="J73" s="233"/>
      <c r="K73" s="233"/>
      <c r="L73" s="220" t="s">
        <v>241</v>
      </c>
    </row>
    <row r="74" spans="1:12" s="143" customFormat="1" ht="18.75" customHeight="1">
      <c r="A74" s="219"/>
      <c r="B74" s="223"/>
      <c r="C74" s="225"/>
      <c r="D74" s="223"/>
      <c r="E74" s="226"/>
      <c r="F74" s="223"/>
      <c r="G74" s="231"/>
      <c r="H74" s="233"/>
      <c r="I74" s="233"/>
      <c r="J74" s="233"/>
      <c r="K74" s="233"/>
      <c r="L74" s="221"/>
    </row>
    <row r="75" spans="1:12" s="143" customFormat="1" ht="18.75" customHeight="1">
      <c r="A75" s="219"/>
      <c r="B75" s="223"/>
      <c r="C75" s="225"/>
      <c r="D75" s="223"/>
      <c r="E75" s="226"/>
      <c r="F75" s="223"/>
      <c r="G75" s="231"/>
      <c r="H75" s="233"/>
      <c r="I75" s="233"/>
      <c r="J75" s="233"/>
      <c r="K75" s="233"/>
      <c r="L75" s="221"/>
    </row>
    <row r="76" spans="1:12" s="143" customFormat="1" ht="18.75" customHeight="1">
      <c r="A76" s="219" t="s">
        <v>226</v>
      </c>
      <c r="B76" s="222" t="s">
        <v>219</v>
      </c>
      <c r="C76" s="224" t="s">
        <v>190</v>
      </c>
      <c r="D76" s="222">
        <v>30</v>
      </c>
      <c r="E76" s="224" t="s">
        <v>217</v>
      </c>
      <c r="F76" s="222" t="s">
        <v>242</v>
      </c>
      <c r="G76" s="224" t="s">
        <v>195</v>
      </c>
      <c r="H76" s="228" t="s">
        <v>233</v>
      </c>
      <c r="I76" s="229"/>
      <c r="J76" s="229"/>
      <c r="K76" s="229"/>
      <c r="L76" s="220" t="s">
        <v>241</v>
      </c>
    </row>
    <row r="77" spans="1:12" ht="18.75" customHeight="1">
      <c r="B77" s="223"/>
      <c r="C77" s="225"/>
      <c r="D77" s="223"/>
      <c r="E77" s="226"/>
      <c r="F77" s="223"/>
      <c r="G77" s="227"/>
      <c r="H77" s="229"/>
      <c r="I77" s="229"/>
      <c r="J77" s="229"/>
      <c r="K77" s="229"/>
      <c r="L77" s="221"/>
    </row>
    <row r="78" spans="1:12" ht="18.75" customHeight="1">
      <c r="B78" s="223"/>
      <c r="C78" s="225"/>
      <c r="D78" s="223"/>
      <c r="E78" s="226"/>
      <c r="F78" s="223"/>
      <c r="G78" s="227"/>
      <c r="H78" s="229"/>
      <c r="I78" s="229"/>
      <c r="J78" s="229"/>
      <c r="K78" s="229"/>
      <c r="L78" s="221"/>
    </row>
    <row r="79" spans="1:12" ht="18.75" customHeight="1">
      <c r="B79" s="222" t="s">
        <v>219</v>
      </c>
      <c r="C79" s="224" t="s">
        <v>228</v>
      </c>
      <c r="D79" s="222" t="s">
        <v>242</v>
      </c>
      <c r="E79" s="224" t="s">
        <v>217</v>
      </c>
      <c r="F79" s="222">
        <v>30</v>
      </c>
      <c r="G79" s="224" t="s">
        <v>195</v>
      </c>
      <c r="H79" s="228" t="s">
        <v>233</v>
      </c>
      <c r="I79" s="229"/>
      <c r="J79" s="229"/>
      <c r="K79" s="229"/>
      <c r="L79" s="220" t="s">
        <v>241</v>
      </c>
    </row>
    <row r="80" spans="1:12" ht="18.75" customHeight="1">
      <c r="B80" s="223"/>
      <c r="C80" s="225"/>
      <c r="D80" s="223"/>
      <c r="E80" s="226"/>
      <c r="F80" s="223"/>
      <c r="G80" s="227"/>
      <c r="H80" s="229"/>
      <c r="I80" s="229"/>
      <c r="J80" s="229"/>
      <c r="K80" s="229"/>
      <c r="L80" s="221"/>
    </row>
    <row r="81" spans="1:12" s="143" customFormat="1" ht="18.75" customHeight="1">
      <c r="A81" s="219"/>
      <c r="B81" s="223"/>
      <c r="C81" s="225"/>
      <c r="D81" s="223"/>
      <c r="E81" s="226"/>
      <c r="F81" s="223"/>
      <c r="G81" s="227"/>
      <c r="H81" s="229"/>
      <c r="I81" s="229"/>
      <c r="J81" s="229"/>
      <c r="K81" s="229"/>
      <c r="L81" s="221"/>
    </row>
    <row r="82" spans="1:12" s="143" customFormat="1">
      <c r="A82" s="219"/>
      <c r="H82" s="18"/>
    </row>
    <row r="83" spans="1:12" s="143" customFormat="1">
      <c r="A83" s="219" t="s">
        <v>235</v>
      </c>
      <c r="B83" s="222">
        <v>30</v>
      </c>
      <c r="C83" s="224" t="s">
        <v>190</v>
      </c>
      <c r="D83" s="222">
        <v>30</v>
      </c>
      <c r="E83" s="224" t="s">
        <v>229</v>
      </c>
      <c r="F83" s="222" t="s">
        <v>242</v>
      </c>
      <c r="G83" s="230" t="s">
        <v>187</v>
      </c>
      <c r="H83" s="330" t="s">
        <v>234</v>
      </c>
      <c r="I83" s="331"/>
      <c r="J83" s="331"/>
      <c r="K83" s="331"/>
      <c r="L83" s="220" t="s">
        <v>241</v>
      </c>
    </row>
    <row r="84" spans="1:12" s="143" customFormat="1">
      <c r="A84" s="219"/>
      <c r="B84" s="223"/>
      <c r="C84" s="225"/>
      <c r="D84" s="223"/>
      <c r="E84" s="226"/>
      <c r="F84" s="223"/>
      <c r="G84" s="231"/>
      <c r="H84" s="331"/>
      <c r="I84" s="331"/>
      <c r="J84" s="331"/>
      <c r="K84" s="331"/>
      <c r="L84" s="221"/>
    </row>
    <row r="85" spans="1:12" s="143" customFormat="1">
      <c r="A85" s="219"/>
      <c r="B85" s="223"/>
      <c r="C85" s="225"/>
      <c r="D85" s="223"/>
      <c r="E85" s="226"/>
      <c r="F85" s="223"/>
      <c r="G85" s="231"/>
      <c r="H85" s="331"/>
      <c r="I85" s="331"/>
      <c r="J85" s="331"/>
      <c r="K85" s="331"/>
      <c r="L85" s="221"/>
    </row>
    <row r="86" spans="1:12" s="143" customFormat="1" ht="18.75" customHeight="1">
      <c r="A86" s="219"/>
      <c r="B86" s="222">
        <v>30</v>
      </c>
      <c r="C86" s="224" t="s">
        <v>190</v>
      </c>
      <c r="D86" s="222" t="s">
        <v>242</v>
      </c>
      <c r="E86" s="224" t="s">
        <v>229</v>
      </c>
      <c r="F86" s="222">
        <v>30</v>
      </c>
      <c r="G86" s="230" t="s">
        <v>187</v>
      </c>
      <c r="H86" s="330" t="s">
        <v>234</v>
      </c>
      <c r="I86" s="331"/>
      <c r="J86" s="331"/>
      <c r="K86" s="331"/>
      <c r="L86" s="220" t="s">
        <v>241</v>
      </c>
    </row>
    <row r="87" spans="1:12" s="143" customFormat="1" ht="18.75" customHeight="1">
      <c r="A87" s="219"/>
      <c r="B87" s="223"/>
      <c r="C87" s="225"/>
      <c r="D87" s="223"/>
      <c r="E87" s="226"/>
      <c r="F87" s="223"/>
      <c r="G87" s="231"/>
      <c r="H87" s="331"/>
      <c r="I87" s="331"/>
      <c r="J87" s="331"/>
      <c r="K87" s="331"/>
      <c r="L87" s="221"/>
    </row>
    <row r="88" spans="1:12" s="143" customFormat="1" ht="18.75" customHeight="1">
      <c r="A88" s="219"/>
      <c r="B88" s="223"/>
      <c r="C88" s="225"/>
      <c r="D88" s="223"/>
      <c r="E88" s="226"/>
      <c r="F88" s="223"/>
      <c r="G88" s="231"/>
      <c r="H88" s="331"/>
      <c r="I88" s="331"/>
      <c r="J88" s="331"/>
      <c r="K88" s="331"/>
      <c r="L88" s="221"/>
    </row>
    <row r="89" spans="1:12" s="143" customFormat="1">
      <c r="A89" s="219"/>
      <c r="H89" s="210"/>
      <c r="I89" s="211"/>
      <c r="J89" s="211"/>
      <c r="K89" s="211"/>
    </row>
    <row r="90" spans="1:12" s="143" customFormat="1" ht="18.75" customHeight="1">
      <c r="A90" s="219" t="s">
        <v>236</v>
      </c>
      <c r="B90" s="222" t="s">
        <v>242</v>
      </c>
      <c r="C90" s="224" t="s">
        <v>190</v>
      </c>
      <c r="D90" s="222" t="s">
        <v>242</v>
      </c>
      <c r="E90" s="224" t="s">
        <v>229</v>
      </c>
      <c r="F90" s="222">
        <v>30</v>
      </c>
      <c r="G90" s="230" t="s">
        <v>187</v>
      </c>
      <c r="H90" s="330" t="s">
        <v>234</v>
      </c>
      <c r="I90" s="331"/>
      <c r="J90" s="331"/>
      <c r="K90" s="331"/>
      <c r="L90" s="220" t="s">
        <v>241</v>
      </c>
    </row>
    <row r="91" spans="1:12" s="143" customFormat="1" ht="18.75" customHeight="1">
      <c r="A91" s="219"/>
      <c r="B91" s="223"/>
      <c r="C91" s="225"/>
      <c r="D91" s="223"/>
      <c r="E91" s="226"/>
      <c r="F91" s="223"/>
      <c r="G91" s="231"/>
      <c r="H91" s="331"/>
      <c r="I91" s="331"/>
      <c r="J91" s="331"/>
      <c r="K91" s="331"/>
      <c r="L91" s="221"/>
    </row>
    <row r="92" spans="1:12" s="143" customFormat="1" ht="18.75" customHeight="1">
      <c r="A92" s="219"/>
      <c r="B92" s="223"/>
      <c r="C92" s="225"/>
      <c r="D92" s="223"/>
      <c r="E92" s="226"/>
      <c r="F92" s="223"/>
      <c r="G92" s="231"/>
      <c r="H92" s="331"/>
      <c r="I92" s="331"/>
      <c r="J92" s="331"/>
      <c r="K92" s="331"/>
      <c r="L92" s="221"/>
    </row>
    <row r="93" spans="1:12" s="143" customFormat="1" ht="18.75" customHeight="1">
      <c r="A93" s="219"/>
      <c r="B93" s="222" t="s">
        <v>242</v>
      </c>
      <c r="C93" s="224" t="s">
        <v>190</v>
      </c>
      <c r="D93" s="222">
        <v>30</v>
      </c>
      <c r="E93" s="224" t="s">
        <v>229</v>
      </c>
      <c r="F93" s="222" t="s">
        <v>242</v>
      </c>
      <c r="G93" s="230" t="s">
        <v>187</v>
      </c>
      <c r="H93" s="330" t="s">
        <v>234</v>
      </c>
      <c r="I93" s="331"/>
      <c r="J93" s="331"/>
      <c r="K93" s="331"/>
      <c r="L93" s="220" t="s">
        <v>241</v>
      </c>
    </row>
    <row r="94" spans="1:12" ht="18.75" customHeight="1">
      <c r="B94" s="223"/>
      <c r="C94" s="225"/>
      <c r="D94" s="223"/>
      <c r="E94" s="226"/>
      <c r="F94" s="223"/>
      <c r="G94" s="231"/>
      <c r="H94" s="331"/>
      <c r="I94" s="331"/>
      <c r="J94" s="331"/>
      <c r="K94" s="331"/>
      <c r="L94" s="221"/>
    </row>
    <row r="95" spans="1:12" ht="18.75" customHeight="1">
      <c r="B95" s="223"/>
      <c r="C95" s="225"/>
      <c r="D95" s="223"/>
      <c r="E95" s="226"/>
      <c r="F95" s="223"/>
      <c r="G95" s="231"/>
      <c r="H95" s="331"/>
      <c r="I95" s="331"/>
      <c r="J95" s="331"/>
      <c r="K95" s="331"/>
      <c r="L95" s="221"/>
    </row>
    <row r="96" spans="1:12">
      <c r="H96" s="212"/>
      <c r="I96" s="213"/>
      <c r="J96" s="213"/>
      <c r="K96" s="213"/>
    </row>
    <row r="97" spans="1:12">
      <c r="B97" s="143" t="s">
        <v>220</v>
      </c>
      <c r="C97" s="143"/>
      <c r="F97" s="143"/>
      <c r="G97" s="143"/>
      <c r="H97" s="210"/>
      <c r="I97" s="211"/>
      <c r="J97" s="211"/>
      <c r="K97" s="211"/>
      <c r="L97" s="143"/>
    </row>
    <row r="98" spans="1:12" ht="18.75" customHeight="1">
      <c r="A98" s="214" t="s">
        <v>237</v>
      </c>
      <c r="B98" s="222" t="s">
        <v>219</v>
      </c>
      <c r="C98" s="224" t="s">
        <v>190</v>
      </c>
      <c r="D98" s="222">
        <v>30</v>
      </c>
      <c r="E98" s="224" t="s">
        <v>229</v>
      </c>
      <c r="F98" s="222" t="s">
        <v>242</v>
      </c>
      <c r="G98" s="230" t="s">
        <v>187</v>
      </c>
      <c r="H98" s="330" t="s">
        <v>231</v>
      </c>
      <c r="I98" s="331"/>
      <c r="J98" s="331"/>
      <c r="K98" s="331"/>
      <c r="L98" s="220" t="s">
        <v>241</v>
      </c>
    </row>
    <row r="99" spans="1:12" ht="18.75" customHeight="1">
      <c r="B99" s="223"/>
      <c r="C99" s="225"/>
      <c r="D99" s="223"/>
      <c r="E99" s="226"/>
      <c r="F99" s="223"/>
      <c r="G99" s="231"/>
      <c r="H99" s="331"/>
      <c r="I99" s="331"/>
      <c r="J99" s="331"/>
      <c r="K99" s="331"/>
      <c r="L99" s="221"/>
    </row>
    <row r="100" spans="1:12" ht="18.75" customHeight="1">
      <c r="B100" s="223"/>
      <c r="C100" s="225"/>
      <c r="D100" s="223"/>
      <c r="E100" s="226"/>
      <c r="F100" s="223"/>
      <c r="G100" s="231"/>
      <c r="H100" s="331"/>
      <c r="I100" s="331"/>
      <c r="J100" s="331"/>
      <c r="K100" s="331"/>
      <c r="L100" s="221"/>
    </row>
    <row r="101" spans="1:12" ht="18.75" customHeight="1">
      <c r="B101" s="222" t="s">
        <v>219</v>
      </c>
      <c r="C101" s="224" t="s">
        <v>190</v>
      </c>
      <c r="D101" s="222" t="s">
        <v>242</v>
      </c>
      <c r="E101" s="224" t="s">
        <v>229</v>
      </c>
      <c r="F101" s="222">
        <v>30</v>
      </c>
      <c r="G101" s="230" t="s">
        <v>187</v>
      </c>
      <c r="H101" s="330" t="s">
        <v>231</v>
      </c>
      <c r="I101" s="331"/>
      <c r="J101" s="331"/>
      <c r="K101" s="331"/>
      <c r="L101" s="220" t="s">
        <v>241</v>
      </c>
    </row>
    <row r="102" spans="1:12" s="143" customFormat="1" ht="18.75" customHeight="1">
      <c r="A102" s="219"/>
      <c r="B102" s="223"/>
      <c r="C102" s="225"/>
      <c r="D102" s="223"/>
      <c r="E102" s="226"/>
      <c r="F102" s="223"/>
      <c r="G102" s="231"/>
      <c r="H102" s="331"/>
      <c r="I102" s="331"/>
      <c r="J102" s="331"/>
      <c r="K102" s="331"/>
      <c r="L102" s="221"/>
    </row>
    <row r="103" spans="1:12" s="143" customFormat="1" ht="18.75" customHeight="1">
      <c r="A103" s="219"/>
      <c r="B103" s="223"/>
      <c r="C103" s="225"/>
      <c r="D103" s="223"/>
      <c r="E103" s="226"/>
      <c r="F103" s="223"/>
      <c r="G103" s="231"/>
      <c r="H103" s="331"/>
      <c r="I103" s="331"/>
      <c r="J103" s="331"/>
      <c r="K103" s="331"/>
      <c r="L103" s="221"/>
    </row>
    <row r="104" spans="1:12" s="143" customFormat="1" ht="18.75" customHeight="1">
      <c r="A104" s="219" t="s">
        <v>238</v>
      </c>
      <c r="B104" s="222" t="s">
        <v>219</v>
      </c>
      <c r="C104" s="224" t="s">
        <v>190</v>
      </c>
      <c r="D104" s="222">
        <v>30</v>
      </c>
      <c r="E104" s="224" t="s">
        <v>194</v>
      </c>
      <c r="F104" s="222" t="s">
        <v>242</v>
      </c>
      <c r="G104" s="230" t="s">
        <v>187</v>
      </c>
      <c r="H104" s="332" t="s">
        <v>230</v>
      </c>
      <c r="I104" s="333"/>
      <c r="J104" s="333"/>
      <c r="K104" s="333"/>
      <c r="L104" s="220" t="s">
        <v>241</v>
      </c>
    </row>
    <row r="105" spans="1:12" s="143" customFormat="1" ht="18.75" customHeight="1">
      <c r="A105" s="219"/>
      <c r="B105" s="223"/>
      <c r="C105" s="225"/>
      <c r="D105" s="223"/>
      <c r="E105" s="226"/>
      <c r="F105" s="223"/>
      <c r="G105" s="231"/>
      <c r="H105" s="333"/>
      <c r="I105" s="333"/>
      <c r="J105" s="333"/>
      <c r="K105" s="333"/>
      <c r="L105" s="221"/>
    </row>
    <row r="106" spans="1:12" s="143" customFormat="1" ht="18.75" customHeight="1">
      <c r="A106" s="219"/>
      <c r="B106" s="223"/>
      <c r="C106" s="225"/>
      <c r="D106" s="223"/>
      <c r="E106" s="226"/>
      <c r="F106" s="223"/>
      <c r="G106" s="231"/>
      <c r="H106" s="333"/>
      <c r="I106" s="333"/>
      <c r="J106" s="333"/>
      <c r="K106" s="333"/>
      <c r="L106" s="221"/>
    </row>
    <row r="107" spans="1:12" s="143" customFormat="1">
      <c r="A107" s="219"/>
      <c r="H107" s="18"/>
    </row>
    <row r="108" spans="1:12" s="143" customFormat="1">
      <c r="A108" s="219"/>
      <c r="H108" s="18"/>
    </row>
    <row r="109" spans="1:12" s="143" customFormat="1">
      <c r="A109" s="219"/>
      <c r="H109" s="18"/>
    </row>
    <row r="110" spans="1:12" s="143" customFormat="1">
      <c r="A110" s="219"/>
      <c r="H110" s="18"/>
    </row>
    <row r="111" spans="1:12" s="143" customFormat="1">
      <c r="A111" s="219"/>
      <c r="H111" s="18"/>
    </row>
    <row r="112" spans="1:12" s="143" customFormat="1">
      <c r="A112" s="219"/>
      <c r="H112" s="18"/>
    </row>
    <row r="113" spans="1:8" s="143" customFormat="1">
      <c r="A113" s="219"/>
      <c r="H113" s="18"/>
    </row>
    <row r="114" spans="1:8" s="143" customFormat="1">
      <c r="A114" s="219"/>
      <c r="H114" s="18"/>
    </row>
    <row r="115" spans="1:8" s="143" customFormat="1">
      <c r="A115" s="219"/>
      <c r="H115" s="18"/>
    </row>
    <row r="116" spans="1:8" s="143" customFormat="1">
      <c r="A116" s="219"/>
    </row>
    <row r="117" spans="1:8" s="143" customFormat="1">
      <c r="A117" s="219"/>
    </row>
    <row r="118" spans="1:8" s="143" customFormat="1">
      <c r="A118" s="219"/>
    </row>
    <row r="119" spans="1:8" s="143" customFormat="1">
      <c r="A119" s="219"/>
    </row>
    <row r="120" spans="1:8" s="143" customFormat="1">
      <c r="A120" s="219"/>
    </row>
    <row r="121" spans="1:8" s="143" customFormat="1">
      <c r="A121" s="219"/>
    </row>
    <row r="122" spans="1:8" s="143" customFormat="1">
      <c r="A122" s="219"/>
    </row>
    <row r="123" spans="1:8" s="143" customFormat="1" ht="18.75" customHeight="1">
      <c r="A123" s="219"/>
    </row>
  </sheetData>
  <sheetProtection selectLockedCells="1"/>
  <protectedRanges>
    <protectedRange password="C417" sqref="B5:S40" name="範圍1"/>
  </protectedRanges>
  <mergeCells count="201">
    <mergeCell ref="B104:B106"/>
    <mergeCell ref="C104:C106"/>
    <mergeCell ref="D104:D106"/>
    <mergeCell ref="E104:E106"/>
    <mergeCell ref="F104:F106"/>
    <mergeCell ref="G104:G106"/>
    <mergeCell ref="H104:K106"/>
    <mergeCell ref="L104:L106"/>
    <mergeCell ref="B98:B100"/>
    <mergeCell ref="C98:C100"/>
    <mergeCell ref="D98:D100"/>
    <mergeCell ref="E98:E100"/>
    <mergeCell ref="F98:F100"/>
    <mergeCell ref="G98:G100"/>
    <mergeCell ref="H98:K100"/>
    <mergeCell ref="L98:L100"/>
    <mergeCell ref="B101:B103"/>
    <mergeCell ref="C101:C103"/>
    <mergeCell ref="D101:D103"/>
    <mergeCell ref="E101:E103"/>
    <mergeCell ref="F101:F103"/>
    <mergeCell ref="G101:G103"/>
    <mergeCell ref="H101:K103"/>
    <mergeCell ref="L101:L103"/>
    <mergeCell ref="B90:B92"/>
    <mergeCell ref="C90:C92"/>
    <mergeCell ref="D90:D92"/>
    <mergeCell ref="E90:E92"/>
    <mergeCell ref="F90:F92"/>
    <mergeCell ref="G90:G92"/>
    <mergeCell ref="H90:K92"/>
    <mergeCell ref="L90:L92"/>
    <mergeCell ref="B93:B95"/>
    <mergeCell ref="C93:C95"/>
    <mergeCell ref="D93:D95"/>
    <mergeCell ref="E93:E95"/>
    <mergeCell ref="F93:F95"/>
    <mergeCell ref="G93:G95"/>
    <mergeCell ref="H93:K95"/>
    <mergeCell ref="L93:L95"/>
    <mergeCell ref="B83:B85"/>
    <mergeCell ref="C83:C85"/>
    <mergeCell ref="D83:D85"/>
    <mergeCell ref="E83:E85"/>
    <mergeCell ref="F83:F85"/>
    <mergeCell ref="G83:G85"/>
    <mergeCell ref="H83:K85"/>
    <mergeCell ref="L83:L85"/>
    <mergeCell ref="B86:B88"/>
    <mergeCell ref="C86:C88"/>
    <mergeCell ref="D86:D88"/>
    <mergeCell ref="E86:E88"/>
    <mergeCell ref="F86:F88"/>
    <mergeCell ref="G86:G88"/>
    <mergeCell ref="H86:K88"/>
    <mergeCell ref="L86:L88"/>
    <mergeCell ref="G41:G43"/>
    <mergeCell ref="E44:E46"/>
    <mergeCell ref="F44:F46"/>
    <mergeCell ref="B41:B43"/>
    <mergeCell ref="C41:C43"/>
    <mergeCell ref="D41:D43"/>
    <mergeCell ref="E41:E43"/>
    <mergeCell ref="F41:F43"/>
    <mergeCell ref="A24:A29"/>
    <mergeCell ref="A32:A37"/>
    <mergeCell ref="B23:J23"/>
    <mergeCell ref="B31:J31"/>
    <mergeCell ref="F5:K6"/>
    <mergeCell ref="B7:D7"/>
    <mergeCell ref="B8:D8"/>
    <mergeCell ref="B9:D9"/>
    <mergeCell ref="B10:D10"/>
    <mergeCell ref="K32:K33"/>
    <mergeCell ref="E34:E35"/>
    <mergeCell ref="K34:K35"/>
    <mergeCell ref="B35:B37"/>
    <mergeCell ref="K36:K37"/>
    <mergeCell ref="E24:E25"/>
    <mergeCell ref="F24:J29"/>
    <mergeCell ref="B5:E6"/>
    <mergeCell ref="L24:L29"/>
    <mergeCell ref="K28:K29"/>
    <mergeCell ref="K24:K25"/>
    <mergeCell ref="K26:K27"/>
    <mergeCell ref="L32:L37"/>
    <mergeCell ref="B24:B26"/>
    <mergeCell ref="B27:B29"/>
    <mergeCell ref="C24:C29"/>
    <mergeCell ref="D24:D26"/>
    <mergeCell ref="D35:D37"/>
    <mergeCell ref="B32:B34"/>
    <mergeCell ref="C32:C37"/>
    <mergeCell ref="D32:D34"/>
    <mergeCell ref="E32:E33"/>
    <mergeCell ref="F32:J37"/>
    <mergeCell ref="E36:E37"/>
    <mergeCell ref="D27:D29"/>
    <mergeCell ref="E28:E29"/>
    <mergeCell ref="E26:E27"/>
    <mergeCell ref="P5:Q5"/>
    <mergeCell ref="B12:B13"/>
    <mergeCell ref="C12:D13"/>
    <mergeCell ref="E12:F13"/>
    <mergeCell ref="G12:G15"/>
    <mergeCell ref="H12:I13"/>
    <mergeCell ref="C14:D14"/>
    <mergeCell ref="E14:F14"/>
    <mergeCell ref="H14:I14"/>
    <mergeCell ref="L7:M10"/>
    <mergeCell ref="P6:Q6"/>
    <mergeCell ref="J12:K13"/>
    <mergeCell ref="J14:K14"/>
    <mergeCell ref="G51:G53"/>
    <mergeCell ref="H51:K53"/>
    <mergeCell ref="L51:L53"/>
    <mergeCell ref="B51:B53"/>
    <mergeCell ref="C51:C53"/>
    <mergeCell ref="D51:D53"/>
    <mergeCell ref="E51:E53"/>
    <mergeCell ref="F51:F53"/>
    <mergeCell ref="H41:K43"/>
    <mergeCell ref="G44:G46"/>
    <mergeCell ref="H44:K46"/>
    <mergeCell ref="L44:L46"/>
    <mergeCell ref="B48:B50"/>
    <mergeCell ref="C48:C50"/>
    <mergeCell ref="D48:D50"/>
    <mergeCell ref="E48:E50"/>
    <mergeCell ref="F48:F50"/>
    <mergeCell ref="G48:G50"/>
    <mergeCell ref="H48:K50"/>
    <mergeCell ref="L48:L50"/>
    <mergeCell ref="L41:L43"/>
    <mergeCell ref="B44:B46"/>
    <mergeCell ref="C44:C46"/>
    <mergeCell ref="D44:D46"/>
    <mergeCell ref="G55:G57"/>
    <mergeCell ref="H55:K57"/>
    <mergeCell ref="L55:L57"/>
    <mergeCell ref="B58:B60"/>
    <mergeCell ref="C58:C60"/>
    <mergeCell ref="D58:D60"/>
    <mergeCell ref="E58:E60"/>
    <mergeCell ref="F58:F60"/>
    <mergeCell ref="G58:G60"/>
    <mergeCell ref="H58:K60"/>
    <mergeCell ref="L58:L60"/>
    <mergeCell ref="B55:B57"/>
    <mergeCell ref="C55:C57"/>
    <mergeCell ref="D55:D57"/>
    <mergeCell ref="E55:E57"/>
    <mergeCell ref="F55:F57"/>
    <mergeCell ref="L62:L64"/>
    <mergeCell ref="L65:L67"/>
    <mergeCell ref="G62:G64"/>
    <mergeCell ref="H62:K64"/>
    <mergeCell ref="B65:B67"/>
    <mergeCell ref="C65:C67"/>
    <mergeCell ref="D65:D67"/>
    <mergeCell ref="E65:E67"/>
    <mergeCell ref="F65:F67"/>
    <mergeCell ref="G65:G67"/>
    <mergeCell ref="H65:K67"/>
    <mergeCell ref="B62:B64"/>
    <mergeCell ref="C62:C64"/>
    <mergeCell ref="D62:D64"/>
    <mergeCell ref="E62:E64"/>
    <mergeCell ref="F62:F64"/>
    <mergeCell ref="B70:B72"/>
    <mergeCell ref="C70:C72"/>
    <mergeCell ref="D70:D72"/>
    <mergeCell ref="E70:E72"/>
    <mergeCell ref="F70:F72"/>
    <mergeCell ref="G70:G72"/>
    <mergeCell ref="H70:K72"/>
    <mergeCell ref="L70:L72"/>
    <mergeCell ref="B73:B75"/>
    <mergeCell ref="C73:C75"/>
    <mergeCell ref="D73:D75"/>
    <mergeCell ref="E73:E75"/>
    <mergeCell ref="F73:F75"/>
    <mergeCell ref="G73:G75"/>
    <mergeCell ref="H73:K75"/>
    <mergeCell ref="L73:L75"/>
    <mergeCell ref="L79:L81"/>
    <mergeCell ref="B76:B78"/>
    <mergeCell ref="C76:C78"/>
    <mergeCell ref="D76:D78"/>
    <mergeCell ref="E76:E78"/>
    <mergeCell ref="F76:F78"/>
    <mergeCell ref="G76:G78"/>
    <mergeCell ref="H76:K78"/>
    <mergeCell ref="B79:B81"/>
    <mergeCell ref="C79:C81"/>
    <mergeCell ref="D79:D81"/>
    <mergeCell ref="E79:E81"/>
    <mergeCell ref="F79:F81"/>
    <mergeCell ref="G79:G81"/>
    <mergeCell ref="H79:K81"/>
    <mergeCell ref="L76:L78"/>
  </mergeCells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複製keyword到其他列">
                <anchor moveWithCells="1" sizeWithCells="1">
                  <from>
                    <xdr:col>12</xdr:col>
                    <xdr:colOff>19050</xdr:colOff>
                    <xdr:row>12</xdr:row>
                    <xdr:rowOff>257175</xdr:rowOff>
                  </from>
                  <to>
                    <xdr:col>15</xdr:col>
                    <xdr:colOff>361950</xdr:colOff>
                    <xdr:row>15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K136"/>
  <sheetViews>
    <sheetView topLeftCell="A82" zoomScale="85" zoomScaleNormal="85" workbookViewId="0">
      <selection activeCell="C38" sqref="C38"/>
    </sheetView>
  </sheetViews>
  <sheetFormatPr defaultRowHeight="15.75"/>
  <cols>
    <col min="1" max="1" width="1.25" style="2" customWidth="1"/>
    <col min="2" max="2" width="13.75" style="2" bestFit="1" customWidth="1"/>
    <col min="3" max="6" width="11.375" style="2" bestFit="1" customWidth="1"/>
    <col min="7" max="7" width="15.75" style="2" customWidth="1"/>
    <col min="8" max="11" width="12.5" style="2" bestFit="1" customWidth="1"/>
    <col min="12" max="12" width="1.875" style="2" customWidth="1"/>
    <col min="13" max="16384" width="9" style="2"/>
  </cols>
  <sheetData>
    <row r="1" spans="2:11">
      <c r="B1" s="21" t="s">
        <v>0</v>
      </c>
    </row>
    <row r="2" spans="2:11">
      <c r="B2" s="22" t="s">
        <v>1</v>
      </c>
    </row>
    <row r="3" spans="2:11">
      <c r="B3" s="23" t="s">
        <v>2</v>
      </c>
    </row>
    <row r="4" spans="2:11">
      <c r="B4" s="24" t="s">
        <v>3</v>
      </c>
    </row>
    <row r="6" spans="2:11" ht="19.5" customHeight="1" thickBot="1"/>
    <row r="7" spans="2:11">
      <c r="B7" s="334"/>
      <c r="C7" s="336" t="s">
        <v>110</v>
      </c>
      <c r="D7" s="337"/>
      <c r="E7" s="340" t="s">
        <v>111</v>
      </c>
      <c r="F7" s="340"/>
      <c r="G7" s="342" t="s">
        <v>112</v>
      </c>
      <c r="H7" s="345" t="s">
        <v>113</v>
      </c>
      <c r="I7" s="346"/>
      <c r="J7" s="349" t="s">
        <v>114</v>
      </c>
      <c r="K7" s="350"/>
    </row>
    <row r="8" spans="2:11" ht="17.25" customHeight="1">
      <c r="B8" s="335"/>
      <c r="C8" s="338"/>
      <c r="D8" s="339"/>
      <c r="E8" s="341"/>
      <c r="F8" s="341"/>
      <c r="G8" s="343"/>
      <c r="H8" s="347"/>
      <c r="I8" s="348"/>
      <c r="J8" s="351"/>
      <c r="K8" s="352"/>
    </row>
    <row r="9" spans="2:11" ht="17.25" customHeight="1">
      <c r="B9" s="97" t="s">
        <v>127</v>
      </c>
      <c r="C9" s="353" t="s">
        <v>128</v>
      </c>
      <c r="D9" s="354"/>
      <c r="E9" s="354" t="s">
        <v>129</v>
      </c>
      <c r="F9" s="354"/>
      <c r="G9" s="343"/>
      <c r="H9" s="355" t="s">
        <v>129</v>
      </c>
      <c r="I9" s="354"/>
      <c r="J9" s="354" t="s">
        <v>129</v>
      </c>
      <c r="K9" s="356"/>
    </row>
    <row r="10" spans="2:11" ht="17.25" customHeight="1" thickBot="1">
      <c r="B10" s="25" t="s">
        <v>130</v>
      </c>
      <c r="C10" s="26" t="s">
        <v>131</v>
      </c>
      <c r="D10" s="27" t="s">
        <v>132</v>
      </c>
      <c r="E10" s="27" t="s">
        <v>120</v>
      </c>
      <c r="F10" s="27" t="s">
        <v>121</v>
      </c>
      <c r="G10" s="344"/>
      <c r="H10" s="28" t="s">
        <v>133</v>
      </c>
      <c r="I10" s="27" t="s">
        <v>134</v>
      </c>
      <c r="J10" s="27" t="s">
        <v>135</v>
      </c>
      <c r="K10" s="29" t="s">
        <v>136</v>
      </c>
    </row>
    <row r="11" spans="2:11" ht="22.5">
      <c r="B11" s="90">
        <v>1</v>
      </c>
      <c r="C11" s="128">
        <v>1920</v>
      </c>
      <c r="D11" s="129">
        <v>1980</v>
      </c>
      <c r="E11" s="129">
        <v>2110</v>
      </c>
      <c r="F11" s="129">
        <v>2170</v>
      </c>
      <c r="G11" s="30" t="s">
        <v>12</v>
      </c>
      <c r="H11" s="101">
        <v>3840</v>
      </c>
      <c r="I11" s="102">
        <v>3960</v>
      </c>
      <c r="J11" s="102">
        <v>5760</v>
      </c>
      <c r="K11" s="103">
        <v>5940</v>
      </c>
    </row>
    <row r="12" spans="2:11" ht="22.5">
      <c r="B12" s="89">
        <v>2</v>
      </c>
      <c r="C12" s="130">
        <v>1850</v>
      </c>
      <c r="D12" s="131">
        <v>1910</v>
      </c>
      <c r="E12" s="131">
        <v>1930</v>
      </c>
      <c r="F12" s="131">
        <v>1990</v>
      </c>
      <c r="G12" s="3" t="s">
        <v>12</v>
      </c>
      <c r="H12" s="104">
        <v>3700</v>
      </c>
      <c r="I12" s="105">
        <v>3820</v>
      </c>
      <c r="J12" s="105">
        <v>5550</v>
      </c>
      <c r="K12" s="106">
        <v>5730</v>
      </c>
    </row>
    <row r="13" spans="2:11" ht="22.5">
      <c r="B13" s="89">
        <v>3</v>
      </c>
      <c r="C13" s="130">
        <v>1710</v>
      </c>
      <c r="D13" s="131">
        <v>1785</v>
      </c>
      <c r="E13" s="131">
        <v>1805</v>
      </c>
      <c r="F13" s="131">
        <v>1880</v>
      </c>
      <c r="G13" s="3" t="s">
        <v>12</v>
      </c>
      <c r="H13" s="104">
        <v>3420</v>
      </c>
      <c r="I13" s="105">
        <v>3570</v>
      </c>
      <c r="J13" s="105">
        <v>5130</v>
      </c>
      <c r="K13" s="106">
        <v>5355</v>
      </c>
    </row>
    <row r="14" spans="2:11" ht="22.5">
      <c r="B14" s="89">
        <v>4</v>
      </c>
      <c r="C14" s="130">
        <v>1710</v>
      </c>
      <c r="D14" s="131">
        <v>1755</v>
      </c>
      <c r="E14" s="131">
        <v>2110</v>
      </c>
      <c r="F14" s="131">
        <v>2155</v>
      </c>
      <c r="G14" s="3" t="s">
        <v>12</v>
      </c>
      <c r="H14" s="104">
        <v>3420</v>
      </c>
      <c r="I14" s="105">
        <v>3510</v>
      </c>
      <c r="J14" s="105">
        <v>5130</v>
      </c>
      <c r="K14" s="106">
        <v>5265</v>
      </c>
    </row>
    <row r="15" spans="2:11" ht="22.5">
      <c r="B15" s="89">
        <v>5</v>
      </c>
      <c r="C15" s="130">
        <v>824</v>
      </c>
      <c r="D15" s="131">
        <v>849</v>
      </c>
      <c r="E15" s="131">
        <v>869</v>
      </c>
      <c r="F15" s="131">
        <v>894</v>
      </c>
      <c r="G15" s="3" t="s">
        <v>12</v>
      </c>
      <c r="H15" s="104">
        <v>1648</v>
      </c>
      <c r="I15" s="105">
        <v>1698</v>
      </c>
      <c r="J15" s="105">
        <v>2472</v>
      </c>
      <c r="K15" s="106">
        <v>2547</v>
      </c>
    </row>
    <row r="16" spans="2:11" ht="22.5">
      <c r="B16" s="89">
        <v>6</v>
      </c>
      <c r="C16" s="130">
        <v>830</v>
      </c>
      <c r="D16" s="131">
        <v>840</v>
      </c>
      <c r="E16" s="131">
        <v>875</v>
      </c>
      <c r="F16" s="131">
        <v>885</v>
      </c>
      <c r="G16" s="3" t="s">
        <v>12</v>
      </c>
      <c r="H16" s="104">
        <v>1660</v>
      </c>
      <c r="I16" s="105">
        <v>1680</v>
      </c>
      <c r="J16" s="105">
        <v>2490</v>
      </c>
      <c r="K16" s="106">
        <v>2520</v>
      </c>
    </row>
    <row r="17" spans="2:11" ht="22.5">
      <c r="B17" s="89">
        <v>7</v>
      </c>
      <c r="C17" s="130">
        <v>2500</v>
      </c>
      <c r="D17" s="131">
        <v>2570</v>
      </c>
      <c r="E17" s="131">
        <v>2620</v>
      </c>
      <c r="F17" s="131">
        <v>2690</v>
      </c>
      <c r="G17" s="3" t="s">
        <v>12</v>
      </c>
      <c r="H17" s="104">
        <v>5000</v>
      </c>
      <c r="I17" s="105">
        <v>5140</v>
      </c>
      <c r="J17" s="105">
        <v>7500</v>
      </c>
      <c r="K17" s="106">
        <v>7710</v>
      </c>
    </row>
    <row r="18" spans="2:11" ht="22.5">
      <c r="B18" s="89">
        <v>8</v>
      </c>
      <c r="C18" s="130">
        <v>880</v>
      </c>
      <c r="D18" s="131">
        <v>915</v>
      </c>
      <c r="E18" s="131">
        <v>925</v>
      </c>
      <c r="F18" s="131">
        <v>960</v>
      </c>
      <c r="G18" s="3" t="s">
        <v>12</v>
      </c>
      <c r="H18" s="104">
        <v>1760</v>
      </c>
      <c r="I18" s="105">
        <v>1830</v>
      </c>
      <c r="J18" s="105">
        <v>2640</v>
      </c>
      <c r="K18" s="106">
        <v>2745</v>
      </c>
    </row>
    <row r="19" spans="2:11" ht="22.5">
      <c r="B19" s="89">
        <v>9</v>
      </c>
      <c r="C19" s="130">
        <v>1749.9</v>
      </c>
      <c r="D19" s="131">
        <v>1784.9</v>
      </c>
      <c r="E19" s="131">
        <v>1844.9</v>
      </c>
      <c r="F19" s="131">
        <v>1879.9</v>
      </c>
      <c r="G19" s="3" t="s">
        <v>12</v>
      </c>
      <c r="H19" s="104">
        <v>3499.8</v>
      </c>
      <c r="I19" s="105">
        <v>3569.8</v>
      </c>
      <c r="J19" s="105">
        <v>5249.7</v>
      </c>
      <c r="K19" s="106">
        <v>5354.7</v>
      </c>
    </row>
    <row r="20" spans="2:11" ht="22.5">
      <c r="B20" s="89">
        <v>10</v>
      </c>
      <c r="C20" s="130">
        <v>1710</v>
      </c>
      <c r="D20" s="131">
        <v>1770</v>
      </c>
      <c r="E20" s="131">
        <v>2110</v>
      </c>
      <c r="F20" s="131">
        <v>2170</v>
      </c>
      <c r="G20" s="3" t="s">
        <v>12</v>
      </c>
      <c r="H20" s="104">
        <v>3420</v>
      </c>
      <c r="I20" s="105">
        <v>3540</v>
      </c>
      <c r="J20" s="105">
        <v>5130</v>
      </c>
      <c r="K20" s="106">
        <v>5310</v>
      </c>
    </row>
    <row r="21" spans="2:11" ht="22.5">
      <c r="B21" s="89">
        <v>11</v>
      </c>
      <c r="C21" s="130">
        <v>1427.9</v>
      </c>
      <c r="D21" s="131">
        <v>1447.9</v>
      </c>
      <c r="E21" s="131">
        <v>1475.9</v>
      </c>
      <c r="F21" s="131">
        <v>1495.9</v>
      </c>
      <c r="G21" s="3" t="s">
        <v>12</v>
      </c>
      <c r="H21" s="104">
        <v>2855.8</v>
      </c>
      <c r="I21" s="105">
        <v>2895.8</v>
      </c>
      <c r="J21" s="105">
        <v>4283.7</v>
      </c>
      <c r="K21" s="106">
        <v>4343.7</v>
      </c>
    </row>
    <row r="22" spans="2:11" ht="22.5">
      <c r="B22" s="89">
        <v>12</v>
      </c>
      <c r="C22" s="130">
        <v>699</v>
      </c>
      <c r="D22" s="131">
        <v>716</v>
      </c>
      <c r="E22" s="131">
        <v>729</v>
      </c>
      <c r="F22" s="131">
        <v>746</v>
      </c>
      <c r="G22" s="3" t="s">
        <v>12</v>
      </c>
      <c r="H22" s="104">
        <v>1398</v>
      </c>
      <c r="I22" s="105">
        <v>1432</v>
      </c>
      <c r="J22" s="105">
        <v>2097</v>
      </c>
      <c r="K22" s="106">
        <v>2148</v>
      </c>
    </row>
    <row r="23" spans="2:11" ht="22.5">
      <c r="B23" s="89">
        <v>13</v>
      </c>
      <c r="C23" s="130">
        <v>777</v>
      </c>
      <c r="D23" s="131">
        <v>787</v>
      </c>
      <c r="E23" s="131">
        <v>746</v>
      </c>
      <c r="F23" s="131">
        <v>756</v>
      </c>
      <c r="G23" s="3" t="s">
        <v>12</v>
      </c>
      <c r="H23" s="104">
        <v>1554</v>
      </c>
      <c r="I23" s="105">
        <v>1574</v>
      </c>
      <c r="J23" s="105">
        <v>2331</v>
      </c>
      <c r="K23" s="106">
        <v>2361</v>
      </c>
    </row>
    <row r="24" spans="2:11" ht="22.5">
      <c r="B24" s="89">
        <v>14</v>
      </c>
      <c r="C24" s="130">
        <v>788</v>
      </c>
      <c r="D24" s="131">
        <v>798</v>
      </c>
      <c r="E24" s="131">
        <v>758</v>
      </c>
      <c r="F24" s="131">
        <v>768</v>
      </c>
      <c r="G24" s="3" t="s">
        <v>12</v>
      </c>
      <c r="H24" s="104">
        <v>1576</v>
      </c>
      <c r="I24" s="105">
        <v>1596</v>
      </c>
      <c r="J24" s="105">
        <v>2364</v>
      </c>
      <c r="K24" s="106">
        <v>2394</v>
      </c>
    </row>
    <row r="25" spans="2:11" ht="22.5">
      <c r="B25" s="89">
        <v>17</v>
      </c>
      <c r="C25" s="130">
        <v>704</v>
      </c>
      <c r="D25" s="131">
        <v>716</v>
      </c>
      <c r="E25" s="131">
        <v>734</v>
      </c>
      <c r="F25" s="131">
        <v>746</v>
      </c>
      <c r="G25" s="3" t="s">
        <v>12</v>
      </c>
      <c r="H25" s="104">
        <v>1408</v>
      </c>
      <c r="I25" s="105">
        <v>1432</v>
      </c>
      <c r="J25" s="105">
        <v>2112</v>
      </c>
      <c r="K25" s="106">
        <v>2148</v>
      </c>
    </row>
    <row r="26" spans="2:11" ht="22.5">
      <c r="B26" s="89">
        <v>18</v>
      </c>
      <c r="C26" s="130">
        <v>815</v>
      </c>
      <c r="D26" s="131">
        <v>830</v>
      </c>
      <c r="E26" s="131">
        <v>860</v>
      </c>
      <c r="F26" s="131">
        <v>875</v>
      </c>
      <c r="G26" s="3" t="s">
        <v>12</v>
      </c>
      <c r="H26" s="104">
        <v>1630</v>
      </c>
      <c r="I26" s="105">
        <v>1660</v>
      </c>
      <c r="J26" s="105">
        <v>2445</v>
      </c>
      <c r="K26" s="106">
        <v>2490</v>
      </c>
    </row>
    <row r="27" spans="2:11" ht="22.5">
      <c r="B27" s="89">
        <v>19</v>
      </c>
      <c r="C27" s="130">
        <v>830</v>
      </c>
      <c r="D27" s="131">
        <v>845</v>
      </c>
      <c r="E27" s="131">
        <v>875</v>
      </c>
      <c r="F27" s="131">
        <v>890</v>
      </c>
      <c r="G27" s="3" t="s">
        <v>12</v>
      </c>
      <c r="H27" s="104">
        <v>1660</v>
      </c>
      <c r="I27" s="105">
        <v>1690</v>
      </c>
      <c r="J27" s="105">
        <v>2490</v>
      </c>
      <c r="K27" s="106">
        <v>2535</v>
      </c>
    </row>
    <row r="28" spans="2:11" ht="22.5">
      <c r="B28" s="89">
        <v>20</v>
      </c>
      <c r="C28" s="130">
        <v>832</v>
      </c>
      <c r="D28" s="131">
        <v>862</v>
      </c>
      <c r="E28" s="131">
        <v>791</v>
      </c>
      <c r="F28" s="131">
        <v>821</v>
      </c>
      <c r="G28" s="3" t="s">
        <v>12</v>
      </c>
      <c r="H28" s="104">
        <v>1664</v>
      </c>
      <c r="I28" s="105">
        <v>1724</v>
      </c>
      <c r="J28" s="105">
        <v>2496</v>
      </c>
      <c r="K28" s="106">
        <v>2586</v>
      </c>
    </row>
    <row r="29" spans="2:11" ht="22.5">
      <c r="B29" s="89">
        <v>21</v>
      </c>
      <c r="C29" s="130">
        <v>1447.9</v>
      </c>
      <c r="D29" s="131">
        <v>1462.9</v>
      </c>
      <c r="E29" s="131">
        <v>1495.9</v>
      </c>
      <c r="F29" s="131">
        <v>1510.9</v>
      </c>
      <c r="G29" s="3" t="s">
        <v>12</v>
      </c>
      <c r="H29" s="104">
        <v>2895.8</v>
      </c>
      <c r="I29" s="105">
        <v>2925.8</v>
      </c>
      <c r="J29" s="105">
        <v>4343.7</v>
      </c>
      <c r="K29" s="106">
        <v>4388.7</v>
      </c>
    </row>
    <row r="30" spans="2:11" ht="22.5">
      <c r="B30" s="89">
        <v>22</v>
      </c>
      <c r="C30" s="130">
        <v>3410</v>
      </c>
      <c r="D30" s="131">
        <v>3490</v>
      </c>
      <c r="E30" s="131">
        <v>3510</v>
      </c>
      <c r="F30" s="131">
        <v>3590</v>
      </c>
      <c r="G30" s="3" t="s">
        <v>12</v>
      </c>
      <c r="H30" s="104">
        <v>6820</v>
      </c>
      <c r="I30" s="105">
        <v>6980</v>
      </c>
      <c r="J30" s="105">
        <v>10230</v>
      </c>
      <c r="K30" s="106">
        <v>10470</v>
      </c>
    </row>
    <row r="31" spans="2:11" ht="22.5">
      <c r="B31" s="89">
        <v>23</v>
      </c>
      <c r="C31" s="130">
        <v>2000</v>
      </c>
      <c r="D31" s="131">
        <v>2020</v>
      </c>
      <c r="E31" s="131">
        <v>2180</v>
      </c>
      <c r="F31" s="131">
        <v>2200</v>
      </c>
      <c r="G31" s="3" t="s">
        <v>12</v>
      </c>
      <c r="H31" s="104">
        <v>4000</v>
      </c>
      <c r="I31" s="105">
        <v>4040</v>
      </c>
      <c r="J31" s="105">
        <v>6000</v>
      </c>
      <c r="K31" s="106">
        <v>6060</v>
      </c>
    </row>
    <row r="32" spans="2:11" ht="22.5">
      <c r="B32" s="89">
        <v>24</v>
      </c>
      <c r="C32" s="130">
        <v>1626.5</v>
      </c>
      <c r="D32" s="131">
        <v>1660.5</v>
      </c>
      <c r="E32" s="131">
        <v>1525</v>
      </c>
      <c r="F32" s="131">
        <v>1559</v>
      </c>
      <c r="G32" s="3" t="s">
        <v>12</v>
      </c>
      <c r="H32" s="104">
        <v>3253</v>
      </c>
      <c r="I32" s="105">
        <v>3321</v>
      </c>
      <c r="J32" s="105">
        <v>4879.5</v>
      </c>
      <c r="K32" s="106">
        <v>4981.5</v>
      </c>
    </row>
    <row r="33" spans="2:11" ht="22.5">
      <c r="B33" s="89">
        <v>25</v>
      </c>
      <c r="C33" s="130">
        <v>1850</v>
      </c>
      <c r="D33" s="131">
        <v>1915</v>
      </c>
      <c r="E33" s="131">
        <v>1930</v>
      </c>
      <c r="F33" s="131">
        <v>1995</v>
      </c>
      <c r="G33" s="3" t="s">
        <v>12</v>
      </c>
      <c r="H33" s="104">
        <v>3700</v>
      </c>
      <c r="I33" s="105">
        <v>3830</v>
      </c>
      <c r="J33" s="105">
        <v>5550</v>
      </c>
      <c r="K33" s="106">
        <v>5745</v>
      </c>
    </row>
    <row r="34" spans="2:11" ht="22.5">
      <c r="B34" s="89">
        <v>26</v>
      </c>
      <c r="C34" s="130">
        <v>814</v>
      </c>
      <c r="D34" s="131">
        <v>849</v>
      </c>
      <c r="E34" s="131">
        <v>859</v>
      </c>
      <c r="F34" s="131">
        <v>894</v>
      </c>
      <c r="G34" s="3" t="s">
        <v>12</v>
      </c>
      <c r="H34" s="104">
        <v>1628</v>
      </c>
      <c r="I34" s="105">
        <v>1698</v>
      </c>
      <c r="J34" s="105">
        <v>2442</v>
      </c>
      <c r="K34" s="106">
        <v>2547</v>
      </c>
    </row>
    <row r="35" spans="2:11" ht="22.5">
      <c r="B35" s="89">
        <v>27</v>
      </c>
      <c r="C35" s="130">
        <v>807</v>
      </c>
      <c r="D35" s="131">
        <v>824</v>
      </c>
      <c r="E35" s="131">
        <v>852</v>
      </c>
      <c r="F35" s="131">
        <v>869</v>
      </c>
      <c r="G35" s="3" t="s">
        <v>12</v>
      </c>
      <c r="H35" s="104">
        <v>1614</v>
      </c>
      <c r="I35" s="105">
        <v>1648</v>
      </c>
      <c r="J35" s="105">
        <v>2421</v>
      </c>
      <c r="K35" s="106">
        <v>2472</v>
      </c>
    </row>
    <row r="36" spans="2:11" ht="22.5">
      <c r="B36" s="89">
        <v>28</v>
      </c>
      <c r="C36" s="130">
        <v>703</v>
      </c>
      <c r="D36" s="131">
        <v>748</v>
      </c>
      <c r="E36" s="131">
        <v>758</v>
      </c>
      <c r="F36" s="131">
        <v>803</v>
      </c>
      <c r="G36" s="3" t="s">
        <v>12</v>
      </c>
      <c r="H36" s="104">
        <v>1406</v>
      </c>
      <c r="I36" s="105">
        <v>1496</v>
      </c>
      <c r="J36" s="105">
        <v>2109</v>
      </c>
      <c r="K36" s="106">
        <v>2244</v>
      </c>
    </row>
    <row r="37" spans="2:11" ht="24.75">
      <c r="B37" s="89">
        <v>29</v>
      </c>
      <c r="C37" s="130"/>
      <c r="D37" s="131"/>
      <c r="E37" s="131">
        <v>717</v>
      </c>
      <c r="F37" s="131">
        <v>728</v>
      </c>
      <c r="G37" s="3" t="s">
        <v>137</v>
      </c>
      <c r="H37" s="104"/>
      <c r="I37" s="105"/>
      <c r="J37" s="105"/>
      <c r="K37" s="106"/>
    </row>
    <row r="38" spans="2:11" ht="22.5">
      <c r="B38" s="89">
        <v>30</v>
      </c>
      <c r="C38" s="130">
        <v>2305</v>
      </c>
      <c r="D38" s="131">
        <v>2315</v>
      </c>
      <c r="E38" s="131">
        <v>2350</v>
      </c>
      <c r="F38" s="131">
        <v>2360</v>
      </c>
      <c r="G38" s="3" t="s">
        <v>240</v>
      </c>
      <c r="H38" s="104">
        <v>4610</v>
      </c>
      <c r="I38" s="105">
        <v>4630</v>
      </c>
      <c r="J38" s="105">
        <v>6915</v>
      </c>
      <c r="K38" s="106">
        <v>6945</v>
      </c>
    </row>
    <row r="39" spans="2:11" ht="22.5">
      <c r="B39" s="89">
        <v>31</v>
      </c>
      <c r="C39" s="130">
        <v>452.5</v>
      </c>
      <c r="D39" s="131">
        <v>457.5</v>
      </c>
      <c r="E39" s="131">
        <v>462.5</v>
      </c>
      <c r="F39" s="131">
        <v>467.5</v>
      </c>
      <c r="G39" s="3" t="s">
        <v>12</v>
      </c>
      <c r="H39" s="104">
        <v>905</v>
      </c>
      <c r="I39" s="105">
        <v>915</v>
      </c>
      <c r="J39" s="105">
        <v>1357.5</v>
      </c>
      <c r="K39" s="106">
        <v>1372.5</v>
      </c>
    </row>
    <row r="40" spans="2:11" ht="22.5">
      <c r="B40" s="89">
        <v>32</v>
      </c>
      <c r="C40" s="130">
        <v>1452</v>
      </c>
      <c r="D40" s="131">
        <v>1496</v>
      </c>
      <c r="E40" s="131"/>
      <c r="F40" s="131"/>
      <c r="G40" s="3" t="s">
        <v>12</v>
      </c>
      <c r="H40" s="104">
        <v>2904</v>
      </c>
      <c r="I40" s="105">
        <v>2992</v>
      </c>
      <c r="J40" s="105">
        <v>4356</v>
      </c>
      <c r="K40" s="106">
        <v>4488</v>
      </c>
    </row>
    <row r="41" spans="2:11" ht="22.5">
      <c r="B41" s="89">
        <v>65</v>
      </c>
      <c r="C41" s="130">
        <v>1920</v>
      </c>
      <c r="D41" s="131">
        <v>2010</v>
      </c>
      <c r="E41" s="131">
        <v>2110</v>
      </c>
      <c r="F41" s="131">
        <v>2200</v>
      </c>
      <c r="G41" s="3" t="s">
        <v>12</v>
      </c>
      <c r="H41" s="104">
        <v>3840</v>
      </c>
      <c r="I41" s="105">
        <v>4020</v>
      </c>
      <c r="J41" s="105">
        <v>5760</v>
      </c>
      <c r="K41" s="106">
        <v>6030</v>
      </c>
    </row>
    <row r="42" spans="2:11" ht="22.5">
      <c r="B42" s="89">
        <v>66</v>
      </c>
      <c r="C42" s="130">
        <v>1710</v>
      </c>
      <c r="D42" s="131">
        <v>1780</v>
      </c>
      <c r="E42" s="131">
        <v>2110</v>
      </c>
      <c r="F42" s="131">
        <v>2200</v>
      </c>
      <c r="G42" s="3" t="s">
        <v>12</v>
      </c>
      <c r="H42" s="104">
        <v>3420</v>
      </c>
      <c r="I42" s="105">
        <v>3560</v>
      </c>
      <c r="J42" s="105">
        <v>5130</v>
      </c>
      <c r="K42" s="106">
        <v>5340</v>
      </c>
    </row>
    <row r="43" spans="2:11" ht="22.5">
      <c r="B43" s="89">
        <v>67</v>
      </c>
      <c r="C43" s="130"/>
      <c r="D43" s="131"/>
      <c r="E43" s="131">
        <v>738</v>
      </c>
      <c r="F43" s="131">
        <v>758</v>
      </c>
      <c r="G43" s="3" t="s">
        <v>12</v>
      </c>
      <c r="H43" s="104"/>
      <c r="I43" s="105"/>
      <c r="J43" s="105"/>
      <c r="K43" s="106"/>
    </row>
    <row r="44" spans="2:11" ht="22.5">
      <c r="B44" s="89">
        <v>68</v>
      </c>
      <c r="C44" s="130">
        <v>698</v>
      </c>
      <c r="D44" s="131">
        <v>728</v>
      </c>
      <c r="E44" s="131">
        <v>753</v>
      </c>
      <c r="F44" s="131">
        <v>783</v>
      </c>
      <c r="G44" s="3" t="s">
        <v>12</v>
      </c>
      <c r="H44" s="104">
        <v>1396</v>
      </c>
      <c r="I44" s="105">
        <v>1456</v>
      </c>
      <c r="J44" s="105">
        <v>2094</v>
      </c>
      <c r="K44" s="106">
        <v>2184</v>
      </c>
    </row>
    <row r="45" spans="2:11" ht="22.5">
      <c r="B45" s="89">
        <v>69</v>
      </c>
      <c r="C45" s="130"/>
      <c r="D45" s="131"/>
      <c r="E45" s="131">
        <v>2570</v>
      </c>
      <c r="F45" s="131">
        <v>2620</v>
      </c>
      <c r="G45" s="3" t="s">
        <v>12</v>
      </c>
      <c r="H45" s="104"/>
      <c r="I45" s="105"/>
      <c r="J45" s="105"/>
      <c r="K45" s="106"/>
    </row>
    <row r="46" spans="2:11" ht="22.5">
      <c r="B46" s="89">
        <v>70</v>
      </c>
      <c r="C46" s="130">
        <v>1695</v>
      </c>
      <c r="D46" s="131">
        <v>1710</v>
      </c>
      <c r="E46" s="131">
        <v>1995</v>
      </c>
      <c r="F46" s="131">
        <v>2020</v>
      </c>
      <c r="G46" s="3" t="s">
        <v>12</v>
      </c>
      <c r="H46" s="104">
        <v>3390</v>
      </c>
      <c r="I46" s="105">
        <v>3420</v>
      </c>
      <c r="J46" s="105">
        <v>5085</v>
      </c>
      <c r="K46" s="106">
        <v>5130</v>
      </c>
    </row>
    <row r="47" spans="2:11" ht="22.5">
      <c r="B47" s="89">
        <v>252</v>
      </c>
      <c r="C47" s="130"/>
      <c r="D47" s="131"/>
      <c r="E47" s="131">
        <v>5150</v>
      </c>
      <c r="F47" s="131">
        <v>5250</v>
      </c>
      <c r="G47" s="3" t="s">
        <v>12</v>
      </c>
      <c r="H47" s="104"/>
      <c r="I47" s="105"/>
      <c r="J47" s="105"/>
      <c r="K47" s="106"/>
    </row>
    <row r="48" spans="2:11" ht="22.5">
      <c r="B48" s="89">
        <v>255</v>
      </c>
      <c r="C48" s="130"/>
      <c r="D48" s="131"/>
      <c r="E48" s="131">
        <v>5725</v>
      </c>
      <c r="F48" s="131">
        <v>5850</v>
      </c>
      <c r="G48" s="3" t="s">
        <v>12</v>
      </c>
      <c r="H48" s="104"/>
      <c r="I48" s="105"/>
      <c r="J48" s="105"/>
      <c r="K48" s="106"/>
    </row>
    <row r="49" spans="2:11" ht="22.5">
      <c r="B49" s="89">
        <v>33</v>
      </c>
      <c r="C49" s="130">
        <v>1900</v>
      </c>
      <c r="D49" s="131">
        <v>1920</v>
      </c>
      <c r="E49" s="131">
        <v>1900</v>
      </c>
      <c r="F49" s="131">
        <v>1920</v>
      </c>
      <c r="G49" s="31" t="s">
        <v>15</v>
      </c>
      <c r="H49" s="104">
        <v>3800</v>
      </c>
      <c r="I49" s="105">
        <v>3840</v>
      </c>
      <c r="J49" s="105">
        <v>5700</v>
      </c>
      <c r="K49" s="106">
        <v>5760</v>
      </c>
    </row>
    <row r="50" spans="2:11" ht="22.5">
      <c r="B50" s="89">
        <v>34</v>
      </c>
      <c r="C50" s="130">
        <v>2010</v>
      </c>
      <c r="D50" s="131">
        <v>2025</v>
      </c>
      <c r="E50" s="131">
        <v>2010</v>
      </c>
      <c r="F50" s="131">
        <v>2025</v>
      </c>
      <c r="G50" s="31" t="s">
        <v>15</v>
      </c>
      <c r="H50" s="104">
        <v>4020</v>
      </c>
      <c r="I50" s="105">
        <v>4050</v>
      </c>
      <c r="J50" s="105">
        <v>6030</v>
      </c>
      <c r="K50" s="106">
        <v>6075</v>
      </c>
    </row>
    <row r="51" spans="2:11" ht="22.5">
      <c r="B51" s="89">
        <v>35</v>
      </c>
      <c r="C51" s="130">
        <v>1850</v>
      </c>
      <c r="D51" s="131">
        <v>1910</v>
      </c>
      <c r="E51" s="131">
        <v>1850</v>
      </c>
      <c r="F51" s="131">
        <v>1910</v>
      </c>
      <c r="G51" s="31" t="s">
        <v>15</v>
      </c>
      <c r="H51" s="104">
        <v>3700</v>
      </c>
      <c r="I51" s="105">
        <v>3820</v>
      </c>
      <c r="J51" s="105">
        <v>5550</v>
      </c>
      <c r="K51" s="106">
        <v>5730</v>
      </c>
    </row>
    <row r="52" spans="2:11" ht="22.5">
      <c r="B52" s="89">
        <v>36</v>
      </c>
      <c r="C52" s="130">
        <v>1930</v>
      </c>
      <c r="D52" s="131">
        <v>1990</v>
      </c>
      <c r="E52" s="131">
        <v>1930</v>
      </c>
      <c r="F52" s="131">
        <v>1990</v>
      </c>
      <c r="G52" s="31" t="s">
        <v>15</v>
      </c>
      <c r="H52" s="104">
        <v>3860</v>
      </c>
      <c r="I52" s="105">
        <v>3980</v>
      </c>
      <c r="J52" s="105">
        <v>5790</v>
      </c>
      <c r="K52" s="106">
        <v>5970</v>
      </c>
    </row>
    <row r="53" spans="2:11" ht="22.5">
      <c r="B53" s="89">
        <v>37</v>
      </c>
      <c r="C53" s="130">
        <v>1910</v>
      </c>
      <c r="D53" s="131">
        <v>1930</v>
      </c>
      <c r="E53" s="131">
        <v>1910</v>
      </c>
      <c r="F53" s="131">
        <v>1930</v>
      </c>
      <c r="G53" s="31" t="s">
        <v>15</v>
      </c>
      <c r="H53" s="104">
        <v>3820</v>
      </c>
      <c r="I53" s="105">
        <v>3860</v>
      </c>
      <c r="J53" s="105">
        <v>5730</v>
      </c>
      <c r="K53" s="106">
        <v>5790</v>
      </c>
    </row>
    <row r="54" spans="2:11" ht="22.5">
      <c r="B54" s="89">
        <v>38</v>
      </c>
      <c r="C54" s="130">
        <v>2570</v>
      </c>
      <c r="D54" s="131">
        <v>2620</v>
      </c>
      <c r="E54" s="131">
        <v>2570</v>
      </c>
      <c r="F54" s="131">
        <v>2620</v>
      </c>
      <c r="G54" s="31" t="s">
        <v>15</v>
      </c>
      <c r="H54" s="104">
        <v>5140</v>
      </c>
      <c r="I54" s="105">
        <v>5240</v>
      </c>
      <c r="J54" s="105">
        <v>7710</v>
      </c>
      <c r="K54" s="106">
        <v>7860</v>
      </c>
    </row>
    <row r="55" spans="2:11" ht="22.5">
      <c r="B55" s="89">
        <v>39</v>
      </c>
      <c r="C55" s="130">
        <v>1880</v>
      </c>
      <c r="D55" s="131">
        <v>1920</v>
      </c>
      <c r="E55" s="131">
        <v>1880</v>
      </c>
      <c r="F55" s="131">
        <v>1920</v>
      </c>
      <c r="G55" s="31" t="s">
        <v>15</v>
      </c>
      <c r="H55" s="104">
        <v>3760</v>
      </c>
      <c r="I55" s="105">
        <v>3840</v>
      </c>
      <c r="J55" s="105">
        <v>5640</v>
      </c>
      <c r="K55" s="106">
        <v>5760</v>
      </c>
    </row>
    <row r="56" spans="2:11" ht="22.5">
      <c r="B56" s="89">
        <v>40</v>
      </c>
      <c r="C56" s="130">
        <v>2300</v>
      </c>
      <c r="D56" s="131">
        <v>2400</v>
      </c>
      <c r="E56" s="131">
        <v>2300</v>
      </c>
      <c r="F56" s="131">
        <v>2400</v>
      </c>
      <c r="G56" s="31" t="s">
        <v>15</v>
      </c>
      <c r="H56" s="104">
        <v>4600</v>
      </c>
      <c r="I56" s="105">
        <v>4800</v>
      </c>
      <c r="J56" s="105">
        <v>6900</v>
      </c>
      <c r="K56" s="106">
        <v>7200</v>
      </c>
    </row>
    <row r="57" spans="2:11" ht="22.5">
      <c r="B57" s="89">
        <v>41</v>
      </c>
      <c r="C57" s="130">
        <v>2496</v>
      </c>
      <c r="D57" s="131">
        <v>2690</v>
      </c>
      <c r="E57" s="131">
        <v>2496</v>
      </c>
      <c r="F57" s="131">
        <v>2690</v>
      </c>
      <c r="G57" s="31" t="s">
        <v>15</v>
      </c>
      <c r="H57" s="104">
        <v>4992</v>
      </c>
      <c r="I57" s="105">
        <v>5380</v>
      </c>
      <c r="J57" s="105">
        <v>7488</v>
      </c>
      <c r="K57" s="106">
        <v>8070</v>
      </c>
    </row>
    <row r="58" spans="2:11" ht="22.5">
      <c r="B58" s="89">
        <v>42</v>
      </c>
      <c r="C58" s="130">
        <v>3400</v>
      </c>
      <c r="D58" s="131">
        <v>3600</v>
      </c>
      <c r="E58" s="131">
        <v>3400</v>
      </c>
      <c r="F58" s="131">
        <v>3600</v>
      </c>
      <c r="G58" s="31" t="s">
        <v>15</v>
      </c>
      <c r="H58" s="104">
        <v>6800</v>
      </c>
      <c r="I58" s="105">
        <v>7200</v>
      </c>
      <c r="J58" s="105">
        <v>10200</v>
      </c>
      <c r="K58" s="106">
        <v>10800</v>
      </c>
    </row>
    <row r="59" spans="2:11" ht="22.5">
      <c r="B59" s="89">
        <v>43</v>
      </c>
      <c r="C59" s="130">
        <v>3600</v>
      </c>
      <c r="D59" s="131">
        <v>3800</v>
      </c>
      <c r="E59" s="131">
        <v>3600</v>
      </c>
      <c r="F59" s="131">
        <v>3800</v>
      </c>
      <c r="G59" s="31" t="s">
        <v>15</v>
      </c>
      <c r="H59" s="104">
        <v>7200</v>
      </c>
      <c r="I59" s="105">
        <v>7600</v>
      </c>
      <c r="J59" s="105">
        <v>10800</v>
      </c>
      <c r="K59" s="106">
        <v>11400</v>
      </c>
    </row>
    <row r="60" spans="2:11" ht="22.5">
      <c r="B60" s="89">
        <v>44</v>
      </c>
      <c r="C60" s="130">
        <v>703</v>
      </c>
      <c r="D60" s="131">
        <v>803</v>
      </c>
      <c r="E60" s="131">
        <v>703</v>
      </c>
      <c r="F60" s="131">
        <v>803</v>
      </c>
      <c r="G60" s="31" t="s">
        <v>15</v>
      </c>
      <c r="H60" s="104">
        <v>1406</v>
      </c>
      <c r="I60" s="105">
        <v>1606</v>
      </c>
      <c r="J60" s="105">
        <v>2109</v>
      </c>
      <c r="K60" s="106">
        <v>2409</v>
      </c>
    </row>
    <row r="61" spans="2:11" ht="22.5">
      <c r="B61" s="91">
        <v>45</v>
      </c>
      <c r="C61" s="130">
        <v>1447</v>
      </c>
      <c r="D61" s="131">
        <v>1467</v>
      </c>
      <c r="E61" s="131">
        <v>1447</v>
      </c>
      <c r="F61" s="131">
        <v>1467</v>
      </c>
      <c r="G61" s="31" t="s">
        <v>15</v>
      </c>
      <c r="H61" s="104">
        <v>2894</v>
      </c>
      <c r="I61" s="105">
        <v>2934</v>
      </c>
      <c r="J61" s="105">
        <v>4341</v>
      </c>
      <c r="K61" s="106">
        <v>4401</v>
      </c>
    </row>
    <row r="62" spans="2:11" ht="22.5">
      <c r="B62" s="92">
        <v>46</v>
      </c>
      <c r="C62" s="130">
        <v>5150</v>
      </c>
      <c r="D62" s="131">
        <v>5925</v>
      </c>
      <c r="E62" s="131">
        <v>5150</v>
      </c>
      <c r="F62" s="131">
        <v>5925</v>
      </c>
      <c r="G62" s="31" t="s">
        <v>15</v>
      </c>
      <c r="H62" s="104">
        <v>10300</v>
      </c>
      <c r="I62" s="105">
        <v>11850</v>
      </c>
      <c r="J62" s="105">
        <v>15450</v>
      </c>
      <c r="K62" s="106">
        <v>17775</v>
      </c>
    </row>
    <row r="63" spans="2:11" ht="22.5">
      <c r="B63" s="92">
        <v>47</v>
      </c>
      <c r="C63" s="130">
        <v>5855</v>
      </c>
      <c r="D63" s="131">
        <v>5925</v>
      </c>
      <c r="E63" s="131">
        <v>5855</v>
      </c>
      <c r="F63" s="131">
        <v>5925</v>
      </c>
      <c r="G63" s="31" t="s">
        <v>15</v>
      </c>
      <c r="H63" s="104">
        <v>11710</v>
      </c>
      <c r="I63" s="105">
        <v>11850</v>
      </c>
      <c r="J63" s="105">
        <v>17565</v>
      </c>
      <c r="K63" s="106">
        <v>17775</v>
      </c>
    </row>
    <row r="64" spans="2:11" ht="23.25" thickBot="1">
      <c r="B64" s="93">
        <v>48</v>
      </c>
      <c r="C64" s="132">
        <v>3550</v>
      </c>
      <c r="D64" s="133">
        <v>3700</v>
      </c>
      <c r="E64" s="133">
        <v>3550</v>
      </c>
      <c r="F64" s="133">
        <v>3700</v>
      </c>
      <c r="G64" s="1" t="s">
        <v>15</v>
      </c>
      <c r="H64" s="107">
        <v>7100</v>
      </c>
      <c r="I64" s="108">
        <v>7400</v>
      </c>
      <c r="J64" s="108">
        <v>10650</v>
      </c>
      <c r="K64" s="109">
        <v>11100</v>
      </c>
    </row>
    <row r="65" spans="2:11" ht="22.5">
      <c r="B65" s="94" t="s">
        <v>58</v>
      </c>
      <c r="C65" s="134">
        <v>815</v>
      </c>
      <c r="D65" s="135">
        <v>849</v>
      </c>
      <c r="E65" s="135">
        <v>860</v>
      </c>
      <c r="F65" s="135">
        <v>894</v>
      </c>
      <c r="G65" s="32" t="s">
        <v>12</v>
      </c>
      <c r="H65" s="110">
        <v>1630</v>
      </c>
      <c r="I65" s="111">
        <v>1698</v>
      </c>
      <c r="J65" s="111">
        <v>2445</v>
      </c>
      <c r="K65" s="112">
        <v>2547</v>
      </c>
    </row>
    <row r="66" spans="2:11" ht="22.5">
      <c r="B66" s="89" t="s">
        <v>59</v>
      </c>
      <c r="C66" s="130">
        <v>1850</v>
      </c>
      <c r="D66" s="131">
        <v>1910</v>
      </c>
      <c r="E66" s="131">
        <v>1930</v>
      </c>
      <c r="F66" s="131">
        <v>1990</v>
      </c>
      <c r="G66" s="3" t="s">
        <v>12</v>
      </c>
      <c r="H66" s="110">
        <v>3700</v>
      </c>
      <c r="I66" s="111">
        <v>3820</v>
      </c>
      <c r="J66" s="111">
        <v>5550</v>
      </c>
      <c r="K66" s="112">
        <v>5730</v>
      </c>
    </row>
    <row r="67" spans="2:11" ht="22.5">
      <c r="B67" s="89" t="s">
        <v>61</v>
      </c>
      <c r="C67" s="130">
        <v>872</v>
      </c>
      <c r="D67" s="131">
        <v>915</v>
      </c>
      <c r="E67" s="131">
        <v>917</v>
      </c>
      <c r="F67" s="131">
        <v>960</v>
      </c>
      <c r="G67" s="3" t="s">
        <v>12</v>
      </c>
      <c r="H67" s="110">
        <v>1744</v>
      </c>
      <c r="I67" s="111">
        <v>1830</v>
      </c>
      <c r="J67" s="111">
        <v>2616</v>
      </c>
      <c r="K67" s="112">
        <v>2745</v>
      </c>
    </row>
    <row r="68" spans="2:11" ht="22.5">
      <c r="B68" s="89" t="s">
        <v>63</v>
      </c>
      <c r="C68" s="130">
        <v>887</v>
      </c>
      <c r="D68" s="131">
        <v>925</v>
      </c>
      <c r="E68" s="131">
        <v>832</v>
      </c>
      <c r="F68" s="131">
        <v>870</v>
      </c>
      <c r="G68" s="3" t="s">
        <v>12</v>
      </c>
      <c r="H68" s="110">
        <v>1774</v>
      </c>
      <c r="I68" s="111">
        <v>1850</v>
      </c>
      <c r="J68" s="111">
        <v>2661</v>
      </c>
      <c r="K68" s="112">
        <v>2775</v>
      </c>
    </row>
    <row r="69" spans="2:11" ht="22.5">
      <c r="B69" s="94" t="s">
        <v>65</v>
      </c>
      <c r="C69" s="134">
        <v>1750</v>
      </c>
      <c r="D69" s="135">
        <v>1780</v>
      </c>
      <c r="E69" s="135">
        <v>1840</v>
      </c>
      <c r="F69" s="135">
        <v>1870</v>
      </c>
      <c r="G69" s="3" t="s">
        <v>12</v>
      </c>
      <c r="H69" s="110">
        <v>3500</v>
      </c>
      <c r="I69" s="111">
        <v>3560</v>
      </c>
      <c r="J69" s="111">
        <v>5250</v>
      </c>
      <c r="K69" s="112">
        <v>5340</v>
      </c>
    </row>
    <row r="70" spans="2:11" ht="22.5">
      <c r="B70" s="89" t="s">
        <v>67</v>
      </c>
      <c r="C70" s="130">
        <v>410</v>
      </c>
      <c r="D70" s="131">
        <v>483</v>
      </c>
      <c r="E70" s="131">
        <v>420</v>
      </c>
      <c r="F70" s="131">
        <v>493</v>
      </c>
      <c r="G70" s="3" t="s">
        <v>12</v>
      </c>
      <c r="H70" s="110">
        <v>820</v>
      </c>
      <c r="I70" s="111">
        <v>966</v>
      </c>
      <c r="J70" s="111">
        <v>1230</v>
      </c>
      <c r="K70" s="112">
        <v>1449</v>
      </c>
    </row>
    <row r="71" spans="2:11" ht="22.5">
      <c r="B71" s="89" t="s">
        <v>68</v>
      </c>
      <c r="C71" s="130">
        <v>1920</v>
      </c>
      <c r="D71" s="131">
        <v>1980</v>
      </c>
      <c r="E71" s="131">
        <v>2110</v>
      </c>
      <c r="F71" s="131">
        <v>2170</v>
      </c>
      <c r="G71" s="3" t="s">
        <v>12</v>
      </c>
      <c r="H71" s="110">
        <v>3840</v>
      </c>
      <c r="I71" s="111">
        <v>3960</v>
      </c>
      <c r="J71" s="111">
        <v>5760</v>
      </c>
      <c r="K71" s="112">
        <v>5940</v>
      </c>
    </row>
    <row r="72" spans="2:11" ht="22.5">
      <c r="B72" s="89" t="s">
        <v>70</v>
      </c>
      <c r="C72" s="130">
        <v>776</v>
      </c>
      <c r="D72" s="131">
        <v>788</v>
      </c>
      <c r="E72" s="131">
        <v>746</v>
      </c>
      <c r="F72" s="131">
        <v>758</v>
      </c>
      <c r="G72" s="3" t="s">
        <v>12</v>
      </c>
      <c r="H72" s="110">
        <v>1552</v>
      </c>
      <c r="I72" s="111">
        <v>1576</v>
      </c>
      <c r="J72" s="111">
        <v>2328</v>
      </c>
      <c r="K72" s="112">
        <v>2364</v>
      </c>
    </row>
    <row r="73" spans="2:11" ht="22.5">
      <c r="B73" s="94" t="s">
        <v>72</v>
      </c>
      <c r="C73" s="134">
        <v>1710</v>
      </c>
      <c r="D73" s="135">
        <v>1785</v>
      </c>
      <c r="E73" s="135">
        <v>1805</v>
      </c>
      <c r="F73" s="135">
        <v>1880</v>
      </c>
      <c r="G73" s="3" t="s">
        <v>12</v>
      </c>
      <c r="H73" s="110">
        <v>3420</v>
      </c>
      <c r="I73" s="111">
        <v>3570</v>
      </c>
      <c r="J73" s="111">
        <v>5130</v>
      </c>
      <c r="K73" s="112">
        <v>5355</v>
      </c>
    </row>
    <row r="74" spans="2:11" ht="22.5">
      <c r="B74" s="89" t="s">
        <v>73</v>
      </c>
      <c r="C74" s="130">
        <v>880</v>
      </c>
      <c r="D74" s="131">
        <v>915</v>
      </c>
      <c r="E74" s="131">
        <v>925</v>
      </c>
      <c r="F74" s="131">
        <v>960</v>
      </c>
      <c r="G74" s="3" t="s">
        <v>12</v>
      </c>
      <c r="H74" s="110">
        <v>1760</v>
      </c>
      <c r="I74" s="111">
        <v>1830</v>
      </c>
      <c r="J74" s="111">
        <v>2640</v>
      </c>
      <c r="K74" s="112">
        <v>2745</v>
      </c>
    </row>
    <row r="75" spans="2:11" ht="22.5">
      <c r="B75" s="89" t="s">
        <v>74</v>
      </c>
      <c r="C75" s="130">
        <v>806</v>
      </c>
      <c r="D75" s="131">
        <v>901</v>
      </c>
      <c r="E75" s="131">
        <v>851</v>
      </c>
      <c r="F75" s="131">
        <v>940</v>
      </c>
      <c r="G75" s="3" t="s">
        <v>12</v>
      </c>
      <c r="H75" s="110">
        <v>1612</v>
      </c>
      <c r="I75" s="111">
        <v>1802</v>
      </c>
      <c r="J75" s="111">
        <v>2418</v>
      </c>
      <c r="K75" s="112">
        <v>2703</v>
      </c>
    </row>
    <row r="76" spans="2:11" ht="22.5">
      <c r="B76" s="89" t="s">
        <v>76</v>
      </c>
      <c r="C76" s="130">
        <v>410</v>
      </c>
      <c r="D76" s="131">
        <v>483</v>
      </c>
      <c r="E76" s="131">
        <v>420</v>
      </c>
      <c r="F76" s="131">
        <v>493</v>
      </c>
      <c r="G76" s="3" t="s">
        <v>12</v>
      </c>
      <c r="H76" s="110">
        <v>820</v>
      </c>
      <c r="I76" s="111">
        <v>966</v>
      </c>
      <c r="J76" s="111">
        <v>1230</v>
      </c>
      <c r="K76" s="112">
        <v>1449</v>
      </c>
    </row>
    <row r="77" spans="2:11" ht="22.5">
      <c r="B77" s="94" t="s">
        <v>78</v>
      </c>
      <c r="C77" s="134">
        <v>870</v>
      </c>
      <c r="D77" s="135">
        <v>876</v>
      </c>
      <c r="E77" s="135">
        <v>915</v>
      </c>
      <c r="F77" s="135">
        <v>921</v>
      </c>
      <c r="G77" s="3" t="s">
        <v>12</v>
      </c>
      <c r="H77" s="110">
        <v>1740</v>
      </c>
      <c r="I77" s="111">
        <v>1752</v>
      </c>
      <c r="J77" s="111">
        <v>2610</v>
      </c>
      <c r="K77" s="112">
        <v>2628</v>
      </c>
    </row>
    <row r="78" spans="2:11" ht="22.5">
      <c r="B78" s="89" t="s">
        <v>80</v>
      </c>
      <c r="C78" s="130">
        <v>2500</v>
      </c>
      <c r="D78" s="131">
        <v>2570</v>
      </c>
      <c r="E78" s="131">
        <v>2620</v>
      </c>
      <c r="F78" s="131">
        <v>2690</v>
      </c>
      <c r="G78" s="3" t="s">
        <v>12</v>
      </c>
      <c r="H78" s="110">
        <v>5000</v>
      </c>
      <c r="I78" s="111">
        <v>5140</v>
      </c>
      <c r="J78" s="111">
        <v>7500</v>
      </c>
      <c r="K78" s="112">
        <v>7710</v>
      </c>
    </row>
    <row r="79" spans="2:11" ht="22.5">
      <c r="B79" s="89" t="s">
        <v>82</v>
      </c>
      <c r="C79" s="130">
        <v>1850</v>
      </c>
      <c r="D79" s="131">
        <v>1915</v>
      </c>
      <c r="E79" s="131">
        <v>1930</v>
      </c>
      <c r="F79" s="131">
        <v>1995</v>
      </c>
      <c r="G79" s="3" t="s">
        <v>12</v>
      </c>
      <c r="H79" s="110">
        <v>3700</v>
      </c>
      <c r="I79" s="111">
        <v>3830</v>
      </c>
      <c r="J79" s="111">
        <v>5550</v>
      </c>
      <c r="K79" s="112">
        <v>5745</v>
      </c>
    </row>
    <row r="80" spans="2:11" ht="22.5">
      <c r="B80" s="89" t="s">
        <v>84</v>
      </c>
      <c r="C80" s="130">
        <v>1710</v>
      </c>
      <c r="D80" s="131">
        <v>1755</v>
      </c>
      <c r="E80" s="131">
        <v>2110</v>
      </c>
      <c r="F80" s="131">
        <v>2155</v>
      </c>
      <c r="G80" s="3" t="s">
        <v>12</v>
      </c>
      <c r="H80" s="110">
        <v>3420</v>
      </c>
      <c r="I80" s="111">
        <v>3510</v>
      </c>
      <c r="J80" s="111">
        <v>5130</v>
      </c>
      <c r="K80" s="112">
        <v>5265</v>
      </c>
    </row>
    <row r="81" spans="2:11" ht="22.5">
      <c r="B81" s="94" t="s">
        <v>86</v>
      </c>
      <c r="C81" s="134">
        <v>2502</v>
      </c>
      <c r="D81" s="135">
        <v>2568</v>
      </c>
      <c r="E81" s="135">
        <v>2624</v>
      </c>
      <c r="F81" s="135">
        <v>2690</v>
      </c>
      <c r="G81" s="3" t="s">
        <v>12</v>
      </c>
      <c r="H81" s="110">
        <v>5004</v>
      </c>
      <c r="I81" s="111">
        <v>5136</v>
      </c>
      <c r="J81" s="111">
        <v>7506</v>
      </c>
      <c r="K81" s="112">
        <v>7704</v>
      </c>
    </row>
    <row r="82" spans="2:11" ht="22.5">
      <c r="B82" s="89" t="s">
        <v>88</v>
      </c>
      <c r="C82" s="130">
        <v>787</v>
      </c>
      <c r="D82" s="131">
        <v>799</v>
      </c>
      <c r="E82" s="131">
        <v>757</v>
      </c>
      <c r="F82" s="131">
        <v>769</v>
      </c>
      <c r="G82" s="3" t="s">
        <v>12</v>
      </c>
      <c r="H82" s="110">
        <v>1574</v>
      </c>
      <c r="I82" s="111">
        <v>1598</v>
      </c>
      <c r="J82" s="111">
        <v>2361</v>
      </c>
      <c r="K82" s="112">
        <v>2397</v>
      </c>
    </row>
    <row r="83" spans="2:11" ht="22.5">
      <c r="B83" s="89" t="s">
        <v>90</v>
      </c>
      <c r="C83" s="130">
        <v>698</v>
      </c>
      <c r="D83" s="131">
        <v>716</v>
      </c>
      <c r="E83" s="131">
        <v>728</v>
      </c>
      <c r="F83" s="131">
        <v>746</v>
      </c>
      <c r="G83" s="3" t="s">
        <v>12</v>
      </c>
      <c r="H83" s="110">
        <v>1396</v>
      </c>
      <c r="I83" s="111">
        <v>1432</v>
      </c>
      <c r="J83" s="111">
        <v>2094</v>
      </c>
      <c r="K83" s="112">
        <v>2148</v>
      </c>
    </row>
    <row r="84" spans="2:11" ht="22.5">
      <c r="B84" s="89" t="s">
        <v>92</v>
      </c>
      <c r="C84" s="130">
        <v>1626.5</v>
      </c>
      <c r="D84" s="131">
        <v>1660.5</v>
      </c>
      <c r="E84" s="131">
        <v>1525</v>
      </c>
      <c r="F84" s="131">
        <v>1559</v>
      </c>
      <c r="G84" s="3" t="s">
        <v>12</v>
      </c>
      <c r="H84" s="110">
        <v>3253</v>
      </c>
      <c r="I84" s="111">
        <v>3321</v>
      </c>
      <c r="J84" s="111">
        <v>4879.5</v>
      </c>
      <c r="K84" s="112">
        <v>4981.5</v>
      </c>
    </row>
    <row r="85" spans="2:11" ht="23.25" thickBot="1">
      <c r="B85" s="95" t="s">
        <v>94</v>
      </c>
      <c r="C85" s="136">
        <v>2000</v>
      </c>
      <c r="D85" s="137">
        <v>2020</v>
      </c>
      <c r="E85" s="137">
        <v>2180</v>
      </c>
      <c r="F85" s="137">
        <v>2200</v>
      </c>
      <c r="G85" s="33" t="s">
        <v>12</v>
      </c>
      <c r="H85" s="113">
        <v>4000</v>
      </c>
      <c r="I85" s="114">
        <v>4040</v>
      </c>
      <c r="J85" s="114">
        <v>6000</v>
      </c>
      <c r="K85" s="115">
        <v>6060</v>
      </c>
    </row>
    <row r="86" spans="2:11" ht="22.5">
      <c r="B86" s="88" t="s">
        <v>138</v>
      </c>
      <c r="C86" s="154">
        <v>2402</v>
      </c>
      <c r="D86" s="155">
        <v>2422</v>
      </c>
      <c r="E86" s="155">
        <v>2402</v>
      </c>
      <c r="F86" s="178">
        <v>2422</v>
      </c>
      <c r="G86" s="175" t="s">
        <v>15</v>
      </c>
      <c r="H86" s="116">
        <v>4804</v>
      </c>
      <c r="I86" s="117">
        <v>4844</v>
      </c>
      <c r="J86" s="117">
        <v>7206</v>
      </c>
      <c r="K86" s="118">
        <v>7266</v>
      </c>
    </row>
    <row r="87" spans="2:11" ht="22.5">
      <c r="B87" s="96" t="s">
        <v>139</v>
      </c>
      <c r="C87" s="149">
        <v>2407</v>
      </c>
      <c r="D87" s="138">
        <v>2427</v>
      </c>
      <c r="E87" s="150">
        <v>2407</v>
      </c>
      <c r="F87" s="179">
        <v>2427</v>
      </c>
      <c r="G87" s="176" t="s">
        <v>15</v>
      </c>
      <c r="H87" s="119">
        <v>4814</v>
      </c>
      <c r="I87" s="120">
        <v>4854</v>
      </c>
      <c r="J87" s="120">
        <v>7221</v>
      </c>
      <c r="K87" s="121">
        <v>7281</v>
      </c>
    </row>
    <row r="88" spans="2:11" ht="22.5">
      <c r="B88" s="96" t="s">
        <v>140</v>
      </c>
      <c r="C88" s="149">
        <v>2412</v>
      </c>
      <c r="D88" s="138">
        <v>2432</v>
      </c>
      <c r="E88" s="150">
        <v>2412</v>
      </c>
      <c r="F88" s="179">
        <v>2432</v>
      </c>
      <c r="G88" s="176" t="s">
        <v>15</v>
      </c>
      <c r="H88" s="119">
        <v>4824</v>
      </c>
      <c r="I88" s="120">
        <v>4864</v>
      </c>
      <c r="J88" s="120">
        <v>7236</v>
      </c>
      <c r="K88" s="121">
        <v>7296</v>
      </c>
    </row>
    <row r="89" spans="2:11" ht="22.5">
      <c r="B89" s="96" t="s">
        <v>141</v>
      </c>
      <c r="C89" s="149">
        <v>2417</v>
      </c>
      <c r="D89" s="138">
        <v>2437</v>
      </c>
      <c r="E89" s="150">
        <v>2417</v>
      </c>
      <c r="F89" s="179">
        <v>2437</v>
      </c>
      <c r="G89" s="176" t="s">
        <v>15</v>
      </c>
      <c r="H89" s="119">
        <v>4834</v>
      </c>
      <c r="I89" s="120">
        <v>4874</v>
      </c>
      <c r="J89" s="120">
        <v>7251</v>
      </c>
      <c r="K89" s="121">
        <v>7311</v>
      </c>
    </row>
    <row r="90" spans="2:11" ht="22.5">
      <c r="B90" s="96" t="s">
        <v>142</v>
      </c>
      <c r="C90" s="149">
        <v>2422</v>
      </c>
      <c r="D90" s="138">
        <v>2442</v>
      </c>
      <c r="E90" s="150">
        <v>2422</v>
      </c>
      <c r="F90" s="179">
        <v>2442</v>
      </c>
      <c r="G90" s="176" t="s">
        <v>15</v>
      </c>
      <c r="H90" s="119">
        <v>4844</v>
      </c>
      <c r="I90" s="120">
        <v>4884</v>
      </c>
      <c r="J90" s="120">
        <v>7266</v>
      </c>
      <c r="K90" s="121">
        <v>7326</v>
      </c>
    </row>
    <row r="91" spans="2:11" ht="22.5">
      <c r="B91" s="96" t="s">
        <v>143</v>
      </c>
      <c r="C91" s="149">
        <v>2427</v>
      </c>
      <c r="D91" s="138">
        <v>2447</v>
      </c>
      <c r="E91" s="150">
        <v>2427</v>
      </c>
      <c r="F91" s="179">
        <v>2447</v>
      </c>
      <c r="G91" s="176" t="s">
        <v>15</v>
      </c>
      <c r="H91" s="119">
        <v>4854</v>
      </c>
      <c r="I91" s="120">
        <v>4894</v>
      </c>
      <c r="J91" s="120">
        <v>7281</v>
      </c>
      <c r="K91" s="121">
        <v>7341</v>
      </c>
    </row>
    <row r="92" spans="2:11" ht="22.5">
      <c r="B92" s="96" t="s">
        <v>144</v>
      </c>
      <c r="C92" s="149">
        <v>2432</v>
      </c>
      <c r="D92" s="138">
        <v>2452</v>
      </c>
      <c r="E92" s="150">
        <v>2432</v>
      </c>
      <c r="F92" s="179">
        <v>2452</v>
      </c>
      <c r="G92" s="176" t="s">
        <v>15</v>
      </c>
      <c r="H92" s="119">
        <v>4864</v>
      </c>
      <c r="I92" s="120">
        <v>4904</v>
      </c>
      <c r="J92" s="120">
        <v>7296</v>
      </c>
      <c r="K92" s="121">
        <v>7356</v>
      </c>
    </row>
    <row r="93" spans="2:11" ht="22.5">
      <c r="B93" s="96" t="s">
        <v>145</v>
      </c>
      <c r="C93" s="149">
        <v>2437</v>
      </c>
      <c r="D93" s="138">
        <v>2457</v>
      </c>
      <c r="E93" s="150">
        <v>2437</v>
      </c>
      <c r="F93" s="179">
        <v>2457</v>
      </c>
      <c r="G93" s="176" t="s">
        <v>15</v>
      </c>
      <c r="H93" s="119">
        <v>4874</v>
      </c>
      <c r="I93" s="120">
        <v>4914</v>
      </c>
      <c r="J93" s="120">
        <v>7311</v>
      </c>
      <c r="K93" s="121">
        <v>7371</v>
      </c>
    </row>
    <row r="94" spans="2:11" ht="22.5">
      <c r="B94" s="96" t="s">
        <v>146</v>
      </c>
      <c r="C94" s="149">
        <v>2442</v>
      </c>
      <c r="D94" s="138">
        <v>2462</v>
      </c>
      <c r="E94" s="150">
        <v>2442</v>
      </c>
      <c r="F94" s="179">
        <v>2462</v>
      </c>
      <c r="G94" s="176" t="s">
        <v>15</v>
      </c>
      <c r="H94" s="119">
        <v>4884</v>
      </c>
      <c r="I94" s="120">
        <v>4924</v>
      </c>
      <c r="J94" s="120">
        <v>7326</v>
      </c>
      <c r="K94" s="121">
        <v>7386</v>
      </c>
    </row>
    <row r="95" spans="2:11" ht="22.5">
      <c r="B95" s="96" t="s">
        <v>147</v>
      </c>
      <c r="C95" s="149">
        <v>2447</v>
      </c>
      <c r="D95" s="138">
        <v>2467</v>
      </c>
      <c r="E95" s="150">
        <v>2447</v>
      </c>
      <c r="F95" s="179">
        <v>2467</v>
      </c>
      <c r="G95" s="176" t="s">
        <v>15</v>
      </c>
      <c r="H95" s="119">
        <v>4894</v>
      </c>
      <c r="I95" s="120">
        <v>4934</v>
      </c>
      <c r="J95" s="120">
        <v>7341</v>
      </c>
      <c r="K95" s="121">
        <v>7401</v>
      </c>
    </row>
    <row r="96" spans="2:11" ht="22.5">
      <c r="B96" s="96" t="s">
        <v>148</v>
      </c>
      <c r="C96" s="149">
        <v>2452</v>
      </c>
      <c r="D96" s="138">
        <v>2472</v>
      </c>
      <c r="E96" s="150">
        <v>2452</v>
      </c>
      <c r="F96" s="179">
        <v>2472</v>
      </c>
      <c r="G96" s="176" t="s">
        <v>15</v>
      </c>
      <c r="H96" s="119">
        <v>4904</v>
      </c>
      <c r="I96" s="120">
        <v>4944</v>
      </c>
      <c r="J96" s="120">
        <v>7356</v>
      </c>
      <c r="K96" s="121">
        <v>7416</v>
      </c>
    </row>
    <row r="97" spans="2:11" ht="22.5">
      <c r="B97" s="96" t="s">
        <v>149</v>
      </c>
      <c r="C97" s="149">
        <v>2457</v>
      </c>
      <c r="D97" s="138">
        <v>2477</v>
      </c>
      <c r="E97" s="150">
        <v>2457</v>
      </c>
      <c r="F97" s="179">
        <v>2477</v>
      </c>
      <c r="G97" s="176" t="s">
        <v>15</v>
      </c>
      <c r="H97" s="119">
        <v>4914</v>
      </c>
      <c r="I97" s="120">
        <v>4954</v>
      </c>
      <c r="J97" s="120">
        <v>7371</v>
      </c>
      <c r="K97" s="121">
        <v>7431</v>
      </c>
    </row>
    <row r="98" spans="2:11" ht="22.5">
      <c r="B98" s="96" t="s">
        <v>150</v>
      </c>
      <c r="C98" s="149">
        <v>2462</v>
      </c>
      <c r="D98" s="138">
        <v>2482</v>
      </c>
      <c r="E98" s="150">
        <v>2462</v>
      </c>
      <c r="F98" s="179">
        <v>2482</v>
      </c>
      <c r="G98" s="176" t="s">
        <v>15</v>
      </c>
      <c r="H98" s="119">
        <v>4924</v>
      </c>
      <c r="I98" s="120">
        <v>4964</v>
      </c>
      <c r="J98" s="120">
        <v>7386</v>
      </c>
      <c r="K98" s="121">
        <v>7446</v>
      </c>
    </row>
    <row r="99" spans="2:11" ht="23.25" thickBot="1">
      <c r="B99" s="183" t="s">
        <v>151</v>
      </c>
      <c r="C99" s="184">
        <v>2474</v>
      </c>
      <c r="D99" s="184">
        <v>2494</v>
      </c>
      <c r="E99" s="184">
        <v>2474</v>
      </c>
      <c r="F99" s="185">
        <v>2494</v>
      </c>
      <c r="G99" s="177" t="s">
        <v>15</v>
      </c>
      <c r="H99" s="186">
        <v>4948</v>
      </c>
      <c r="I99" s="187">
        <v>4988</v>
      </c>
      <c r="J99" s="187">
        <v>7422</v>
      </c>
      <c r="K99" s="188">
        <v>7482</v>
      </c>
    </row>
    <row r="100" spans="2:11" ht="23.25" thickBot="1">
      <c r="B100" s="201" t="s">
        <v>211</v>
      </c>
      <c r="C100" s="202">
        <v>2402</v>
      </c>
      <c r="D100" s="202">
        <v>2494</v>
      </c>
      <c r="E100" s="202">
        <v>2402</v>
      </c>
      <c r="F100" s="202">
        <v>2494</v>
      </c>
      <c r="G100" s="203" t="s">
        <v>213</v>
      </c>
      <c r="H100" s="204">
        <v>4804</v>
      </c>
      <c r="I100" s="204">
        <v>4988</v>
      </c>
      <c r="J100" s="204">
        <v>7206</v>
      </c>
      <c r="K100" s="205">
        <v>7482</v>
      </c>
    </row>
    <row r="101" spans="2:11" ht="22.5">
      <c r="B101" s="189" t="s">
        <v>154</v>
      </c>
      <c r="C101" s="190">
        <v>5170</v>
      </c>
      <c r="D101" s="190">
        <v>5190</v>
      </c>
      <c r="E101" s="190">
        <v>5170</v>
      </c>
      <c r="F101" s="191">
        <v>5190</v>
      </c>
      <c r="G101" s="192" t="s">
        <v>15</v>
      </c>
      <c r="H101" s="193">
        <v>10340</v>
      </c>
      <c r="I101" s="194">
        <v>10380</v>
      </c>
      <c r="J101" s="194">
        <v>15510</v>
      </c>
      <c r="K101" s="195">
        <v>15570</v>
      </c>
    </row>
    <row r="102" spans="2:11" ht="22.5">
      <c r="B102" s="98" t="s">
        <v>155</v>
      </c>
      <c r="C102" s="140">
        <v>5190</v>
      </c>
      <c r="D102" s="140">
        <v>5210</v>
      </c>
      <c r="E102" s="140">
        <v>5190</v>
      </c>
      <c r="F102" s="169">
        <v>5210</v>
      </c>
      <c r="G102" s="173" t="s">
        <v>15</v>
      </c>
      <c r="H102" s="166">
        <v>10380</v>
      </c>
      <c r="I102" s="124">
        <v>10420</v>
      </c>
      <c r="J102" s="124">
        <v>15570</v>
      </c>
      <c r="K102" s="125">
        <v>15630</v>
      </c>
    </row>
    <row r="103" spans="2:11" ht="22.5">
      <c r="B103" s="99" t="s">
        <v>156</v>
      </c>
      <c r="C103" s="140">
        <v>5210</v>
      </c>
      <c r="D103" s="140">
        <v>5230</v>
      </c>
      <c r="E103" s="140">
        <v>5210</v>
      </c>
      <c r="F103" s="169">
        <v>5230</v>
      </c>
      <c r="G103" s="173" t="s">
        <v>15</v>
      </c>
      <c r="H103" s="166">
        <v>10420</v>
      </c>
      <c r="I103" s="124">
        <v>10460</v>
      </c>
      <c r="J103" s="124">
        <v>15630</v>
      </c>
      <c r="K103" s="125">
        <v>15690</v>
      </c>
    </row>
    <row r="104" spans="2:11" ht="22.5">
      <c r="B104" s="99" t="s">
        <v>157</v>
      </c>
      <c r="C104" s="140">
        <v>5230</v>
      </c>
      <c r="D104" s="140">
        <v>5250</v>
      </c>
      <c r="E104" s="140">
        <v>5230</v>
      </c>
      <c r="F104" s="169">
        <v>5250</v>
      </c>
      <c r="G104" s="173" t="s">
        <v>15</v>
      </c>
      <c r="H104" s="166">
        <v>10460</v>
      </c>
      <c r="I104" s="124">
        <v>10500</v>
      </c>
      <c r="J104" s="124">
        <v>15690</v>
      </c>
      <c r="K104" s="125">
        <v>15750</v>
      </c>
    </row>
    <row r="105" spans="2:11" ht="22.5">
      <c r="B105" s="99" t="s">
        <v>158</v>
      </c>
      <c r="C105" s="140">
        <v>5250</v>
      </c>
      <c r="D105" s="140">
        <v>5270</v>
      </c>
      <c r="E105" s="140">
        <v>5250</v>
      </c>
      <c r="F105" s="169">
        <v>5270</v>
      </c>
      <c r="G105" s="173" t="s">
        <v>15</v>
      </c>
      <c r="H105" s="166">
        <v>10500</v>
      </c>
      <c r="I105" s="124">
        <v>10540</v>
      </c>
      <c r="J105" s="124">
        <v>15750</v>
      </c>
      <c r="K105" s="125">
        <v>15810</v>
      </c>
    </row>
    <row r="106" spans="2:11" ht="22.5">
      <c r="B106" s="99" t="s">
        <v>159</v>
      </c>
      <c r="C106" s="140">
        <v>5270</v>
      </c>
      <c r="D106" s="140">
        <v>5290</v>
      </c>
      <c r="E106" s="140">
        <v>5270</v>
      </c>
      <c r="F106" s="169">
        <v>5290</v>
      </c>
      <c r="G106" s="173" t="s">
        <v>15</v>
      </c>
      <c r="H106" s="166">
        <v>10540</v>
      </c>
      <c r="I106" s="124">
        <v>10580</v>
      </c>
      <c r="J106" s="124">
        <v>15810</v>
      </c>
      <c r="K106" s="125">
        <v>15870</v>
      </c>
    </row>
    <row r="107" spans="2:11" ht="22.5">
      <c r="B107" s="99" t="s">
        <v>160</v>
      </c>
      <c r="C107" s="140">
        <v>5290</v>
      </c>
      <c r="D107" s="140">
        <v>5310</v>
      </c>
      <c r="E107" s="140">
        <v>5290</v>
      </c>
      <c r="F107" s="169">
        <v>5310</v>
      </c>
      <c r="G107" s="173" t="s">
        <v>15</v>
      </c>
      <c r="H107" s="166">
        <v>10580</v>
      </c>
      <c r="I107" s="124">
        <v>10620</v>
      </c>
      <c r="J107" s="124">
        <v>15870</v>
      </c>
      <c r="K107" s="125">
        <v>15930</v>
      </c>
    </row>
    <row r="108" spans="2:11" ht="22.5">
      <c r="B108" s="99" t="s">
        <v>161</v>
      </c>
      <c r="C108" s="140">
        <v>5310</v>
      </c>
      <c r="D108" s="140">
        <v>5330</v>
      </c>
      <c r="E108" s="140">
        <v>5310</v>
      </c>
      <c r="F108" s="169">
        <v>5330</v>
      </c>
      <c r="G108" s="173" t="s">
        <v>15</v>
      </c>
      <c r="H108" s="166">
        <v>10620</v>
      </c>
      <c r="I108" s="124">
        <v>10660</v>
      </c>
      <c r="J108" s="124">
        <v>15930</v>
      </c>
      <c r="K108" s="125">
        <v>15990</v>
      </c>
    </row>
    <row r="109" spans="2:11" ht="22.5">
      <c r="B109" s="99" t="s">
        <v>162</v>
      </c>
      <c r="C109" s="140">
        <v>5490</v>
      </c>
      <c r="D109" s="140">
        <v>5510</v>
      </c>
      <c r="E109" s="140">
        <v>5490</v>
      </c>
      <c r="F109" s="169">
        <v>5510</v>
      </c>
      <c r="G109" s="173" t="s">
        <v>15</v>
      </c>
      <c r="H109" s="166">
        <v>10980</v>
      </c>
      <c r="I109" s="124">
        <v>11020</v>
      </c>
      <c r="J109" s="124">
        <v>16470</v>
      </c>
      <c r="K109" s="125">
        <v>16530</v>
      </c>
    </row>
    <row r="110" spans="2:11" ht="22.5">
      <c r="B110" s="99" t="s">
        <v>163</v>
      </c>
      <c r="C110" s="140">
        <v>5510</v>
      </c>
      <c r="D110" s="140">
        <v>5530</v>
      </c>
      <c r="E110" s="140">
        <v>5510</v>
      </c>
      <c r="F110" s="169">
        <v>5530</v>
      </c>
      <c r="G110" s="173" t="s">
        <v>15</v>
      </c>
      <c r="H110" s="166">
        <v>11020</v>
      </c>
      <c r="I110" s="124">
        <v>11060</v>
      </c>
      <c r="J110" s="124">
        <v>16530</v>
      </c>
      <c r="K110" s="125">
        <v>16590</v>
      </c>
    </row>
    <row r="111" spans="2:11" ht="22.5">
      <c r="B111" s="99" t="s">
        <v>164</v>
      </c>
      <c r="C111" s="140">
        <v>5530</v>
      </c>
      <c r="D111" s="140">
        <v>5550</v>
      </c>
      <c r="E111" s="140">
        <v>5530</v>
      </c>
      <c r="F111" s="169">
        <v>5550</v>
      </c>
      <c r="G111" s="173" t="s">
        <v>15</v>
      </c>
      <c r="H111" s="166">
        <v>11060</v>
      </c>
      <c r="I111" s="124">
        <v>11100</v>
      </c>
      <c r="J111" s="124">
        <v>16590</v>
      </c>
      <c r="K111" s="125">
        <v>16650</v>
      </c>
    </row>
    <row r="112" spans="2:11" ht="22.5">
      <c r="B112" s="99" t="s">
        <v>165</v>
      </c>
      <c r="C112" s="140">
        <v>5550</v>
      </c>
      <c r="D112" s="140">
        <v>5570</v>
      </c>
      <c r="E112" s="140">
        <v>5550</v>
      </c>
      <c r="F112" s="169">
        <v>5570</v>
      </c>
      <c r="G112" s="173" t="s">
        <v>15</v>
      </c>
      <c r="H112" s="166">
        <v>11100</v>
      </c>
      <c r="I112" s="124">
        <v>11140</v>
      </c>
      <c r="J112" s="124">
        <v>16650</v>
      </c>
      <c r="K112" s="125">
        <v>16710</v>
      </c>
    </row>
    <row r="113" spans="2:11" ht="22.5">
      <c r="B113" s="99" t="s">
        <v>166</v>
      </c>
      <c r="C113" s="140">
        <v>5570</v>
      </c>
      <c r="D113" s="140">
        <v>5590</v>
      </c>
      <c r="E113" s="140">
        <v>5570</v>
      </c>
      <c r="F113" s="169">
        <v>5590</v>
      </c>
      <c r="G113" s="173" t="s">
        <v>15</v>
      </c>
      <c r="H113" s="166">
        <v>11140</v>
      </c>
      <c r="I113" s="124">
        <v>11180</v>
      </c>
      <c r="J113" s="124">
        <v>16710</v>
      </c>
      <c r="K113" s="125">
        <v>16770</v>
      </c>
    </row>
    <row r="114" spans="2:11" ht="22.5">
      <c r="B114" s="99" t="s">
        <v>167</v>
      </c>
      <c r="C114" s="140">
        <v>5590</v>
      </c>
      <c r="D114" s="140">
        <v>5610</v>
      </c>
      <c r="E114" s="140">
        <v>5590</v>
      </c>
      <c r="F114" s="169">
        <v>5610</v>
      </c>
      <c r="G114" s="173" t="s">
        <v>15</v>
      </c>
      <c r="H114" s="166">
        <v>11180</v>
      </c>
      <c r="I114" s="124">
        <v>11220</v>
      </c>
      <c r="J114" s="124">
        <v>16770</v>
      </c>
      <c r="K114" s="125">
        <v>16830</v>
      </c>
    </row>
    <row r="115" spans="2:11" ht="22.5">
      <c r="B115" s="99" t="s">
        <v>168</v>
      </c>
      <c r="C115" s="140">
        <v>5610</v>
      </c>
      <c r="D115" s="140">
        <v>5630</v>
      </c>
      <c r="E115" s="140">
        <v>5610</v>
      </c>
      <c r="F115" s="169">
        <v>5630</v>
      </c>
      <c r="G115" s="173" t="s">
        <v>15</v>
      </c>
      <c r="H115" s="166">
        <v>11220</v>
      </c>
      <c r="I115" s="124">
        <v>11260</v>
      </c>
      <c r="J115" s="124">
        <v>16830</v>
      </c>
      <c r="K115" s="125">
        <v>16890</v>
      </c>
    </row>
    <row r="116" spans="2:11" ht="22.5">
      <c r="B116" s="99" t="s">
        <v>169</v>
      </c>
      <c r="C116" s="140">
        <v>5630</v>
      </c>
      <c r="D116" s="140">
        <v>5650</v>
      </c>
      <c r="E116" s="140">
        <v>5630</v>
      </c>
      <c r="F116" s="169">
        <v>5650</v>
      </c>
      <c r="G116" s="173" t="s">
        <v>15</v>
      </c>
      <c r="H116" s="166">
        <v>11260</v>
      </c>
      <c r="I116" s="124">
        <v>11300</v>
      </c>
      <c r="J116" s="124">
        <v>16890</v>
      </c>
      <c r="K116" s="125">
        <v>16950</v>
      </c>
    </row>
    <row r="117" spans="2:11" ht="22.5">
      <c r="B117" s="99" t="s">
        <v>170</v>
      </c>
      <c r="C117" s="140">
        <v>5650</v>
      </c>
      <c r="D117" s="140">
        <v>5670</v>
      </c>
      <c r="E117" s="140">
        <v>5650</v>
      </c>
      <c r="F117" s="169">
        <v>5670</v>
      </c>
      <c r="G117" s="173" t="s">
        <v>15</v>
      </c>
      <c r="H117" s="166">
        <v>11300</v>
      </c>
      <c r="I117" s="124">
        <v>11340</v>
      </c>
      <c r="J117" s="124">
        <v>16950</v>
      </c>
      <c r="K117" s="125">
        <v>17010</v>
      </c>
    </row>
    <row r="118" spans="2:11" ht="22.5">
      <c r="B118" s="99" t="s">
        <v>171</v>
      </c>
      <c r="C118" s="140">
        <v>5670</v>
      </c>
      <c r="D118" s="140">
        <v>5690</v>
      </c>
      <c r="E118" s="140">
        <v>5670</v>
      </c>
      <c r="F118" s="169">
        <v>5690</v>
      </c>
      <c r="G118" s="173" t="s">
        <v>15</v>
      </c>
      <c r="H118" s="166">
        <v>11340</v>
      </c>
      <c r="I118" s="124">
        <v>11380</v>
      </c>
      <c r="J118" s="124">
        <v>17010</v>
      </c>
      <c r="K118" s="125">
        <v>17070</v>
      </c>
    </row>
    <row r="119" spans="2:11" ht="22.5">
      <c r="B119" s="99" t="s">
        <v>172</v>
      </c>
      <c r="C119" s="140">
        <v>5690</v>
      </c>
      <c r="D119" s="140">
        <v>5710</v>
      </c>
      <c r="E119" s="140">
        <v>5690</v>
      </c>
      <c r="F119" s="169">
        <v>5710</v>
      </c>
      <c r="G119" s="173" t="s">
        <v>15</v>
      </c>
      <c r="H119" s="166">
        <v>11380</v>
      </c>
      <c r="I119" s="124">
        <v>11420</v>
      </c>
      <c r="J119" s="124">
        <v>17070</v>
      </c>
      <c r="K119" s="125">
        <v>17130</v>
      </c>
    </row>
    <row r="120" spans="2:11" ht="22.5">
      <c r="B120" s="99" t="s">
        <v>173</v>
      </c>
      <c r="C120" s="140">
        <v>5710</v>
      </c>
      <c r="D120" s="140">
        <v>5730</v>
      </c>
      <c r="E120" s="140">
        <v>5710</v>
      </c>
      <c r="F120" s="169">
        <v>5730</v>
      </c>
      <c r="G120" s="173" t="s">
        <v>15</v>
      </c>
      <c r="H120" s="166">
        <v>11420</v>
      </c>
      <c r="I120" s="124">
        <v>11460</v>
      </c>
      <c r="J120" s="124">
        <v>17130</v>
      </c>
      <c r="K120" s="125">
        <v>17190</v>
      </c>
    </row>
    <row r="121" spans="2:11" ht="22.5">
      <c r="B121" s="99" t="s">
        <v>174</v>
      </c>
      <c r="C121" s="140">
        <v>5735</v>
      </c>
      <c r="D121" s="140">
        <v>5755</v>
      </c>
      <c r="E121" s="140">
        <v>5735</v>
      </c>
      <c r="F121" s="169">
        <v>5755</v>
      </c>
      <c r="G121" s="173" t="s">
        <v>15</v>
      </c>
      <c r="H121" s="166">
        <v>11470</v>
      </c>
      <c r="I121" s="124">
        <v>11510</v>
      </c>
      <c r="J121" s="124">
        <v>17205</v>
      </c>
      <c r="K121" s="125">
        <v>17265</v>
      </c>
    </row>
    <row r="122" spans="2:11" ht="22.5">
      <c r="B122" s="99" t="s">
        <v>175</v>
      </c>
      <c r="C122" s="140">
        <v>5755</v>
      </c>
      <c r="D122" s="140">
        <v>5775</v>
      </c>
      <c r="E122" s="140">
        <v>5755</v>
      </c>
      <c r="F122" s="169">
        <v>5775</v>
      </c>
      <c r="G122" s="173" t="s">
        <v>15</v>
      </c>
      <c r="H122" s="166">
        <v>11510</v>
      </c>
      <c r="I122" s="124">
        <v>11550</v>
      </c>
      <c r="J122" s="124">
        <v>17265</v>
      </c>
      <c r="K122" s="125">
        <v>17325</v>
      </c>
    </row>
    <row r="123" spans="2:11" ht="22.5">
      <c r="B123" s="99" t="s">
        <v>176</v>
      </c>
      <c r="C123" s="140">
        <v>5775</v>
      </c>
      <c r="D123" s="140">
        <v>5795</v>
      </c>
      <c r="E123" s="140">
        <v>5775</v>
      </c>
      <c r="F123" s="169">
        <v>5795</v>
      </c>
      <c r="G123" s="173" t="s">
        <v>15</v>
      </c>
      <c r="H123" s="166">
        <v>11550</v>
      </c>
      <c r="I123" s="124">
        <v>11590</v>
      </c>
      <c r="J123" s="124">
        <v>17325</v>
      </c>
      <c r="K123" s="125">
        <v>17385</v>
      </c>
    </row>
    <row r="124" spans="2:11" ht="22.5">
      <c r="B124" s="99" t="s">
        <v>177</v>
      </c>
      <c r="C124" s="140">
        <v>5795</v>
      </c>
      <c r="D124" s="140">
        <v>5815</v>
      </c>
      <c r="E124" s="140">
        <v>5795</v>
      </c>
      <c r="F124" s="169">
        <v>5815</v>
      </c>
      <c r="G124" s="173" t="s">
        <v>15</v>
      </c>
      <c r="H124" s="166">
        <v>11590</v>
      </c>
      <c r="I124" s="124">
        <v>11630</v>
      </c>
      <c r="J124" s="124">
        <v>17385</v>
      </c>
      <c r="K124" s="125">
        <v>17445</v>
      </c>
    </row>
    <row r="125" spans="2:11" ht="23.25" thickBot="1">
      <c r="B125" s="100" t="s">
        <v>178</v>
      </c>
      <c r="C125" s="141">
        <v>5815</v>
      </c>
      <c r="D125" s="141">
        <v>5835</v>
      </c>
      <c r="E125" s="141">
        <v>5815</v>
      </c>
      <c r="F125" s="170">
        <v>5835</v>
      </c>
      <c r="G125" s="174" t="s">
        <v>15</v>
      </c>
      <c r="H125" s="167">
        <v>11630</v>
      </c>
      <c r="I125" s="126">
        <v>11670</v>
      </c>
      <c r="J125" s="126">
        <v>17445</v>
      </c>
      <c r="K125" s="127">
        <v>17505</v>
      </c>
    </row>
    <row r="126" spans="2:11" ht="23.25" thickBot="1">
      <c r="B126" s="196" t="s">
        <v>212</v>
      </c>
      <c r="C126" s="141">
        <v>5170</v>
      </c>
      <c r="D126" s="141">
        <v>5835</v>
      </c>
      <c r="E126" s="141">
        <v>5170</v>
      </c>
      <c r="F126" s="141">
        <v>5835</v>
      </c>
      <c r="G126" s="197" t="s">
        <v>214</v>
      </c>
      <c r="H126" s="198">
        <v>10340</v>
      </c>
      <c r="I126" s="199">
        <v>11670</v>
      </c>
      <c r="J126" s="199">
        <v>15510</v>
      </c>
      <c r="K126" s="200">
        <v>17505</v>
      </c>
    </row>
    <row r="127" spans="2:11" ht="22.5">
      <c r="B127" s="159" t="s">
        <v>204</v>
      </c>
      <c r="C127" s="139"/>
      <c r="D127" s="139"/>
      <c r="E127" s="139">
        <v>1574.4</v>
      </c>
      <c r="F127" s="168">
        <v>1576.443</v>
      </c>
      <c r="G127" s="171" t="s">
        <v>200</v>
      </c>
      <c r="H127" s="165"/>
      <c r="I127" s="122"/>
      <c r="J127" s="122"/>
      <c r="K127" s="123"/>
    </row>
    <row r="128" spans="2:11" ht="22.5">
      <c r="B128" s="99" t="s">
        <v>205</v>
      </c>
      <c r="C128" s="140"/>
      <c r="D128" s="140"/>
      <c r="E128" s="140">
        <v>1226.577</v>
      </c>
      <c r="F128" s="169">
        <v>1228.623</v>
      </c>
      <c r="G128" s="171" t="s">
        <v>200</v>
      </c>
      <c r="H128" s="166"/>
      <c r="I128" s="124"/>
      <c r="J128" s="124"/>
      <c r="K128" s="125"/>
    </row>
    <row r="129" spans="2:11" ht="22.5">
      <c r="B129" s="99" t="s">
        <v>206</v>
      </c>
      <c r="C129" s="140"/>
      <c r="D129" s="140"/>
      <c r="E129" s="140">
        <v>1175.4269999999999</v>
      </c>
      <c r="F129" s="169">
        <v>1177.473</v>
      </c>
      <c r="G129" s="171" t="s">
        <v>200</v>
      </c>
      <c r="H129" s="166"/>
      <c r="I129" s="124"/>
      <c r="J129" s="124"/>
      <c r="K129" s="125"/>
    </row>
    <row r="130" spans="2:11" ht="22.5">
      <c r="B130" s="99" t="s">
        <v>197</v>
      </c>
      <c r="C130" s="140"/>
      <c r="D130" s="140"/>
      <c r="E130" s="140">
        <v>1597</v>
      </c>
      <c r="F130" s="169">
        <v>1606</v>
      </c>
      <c r="G130" s="171" t="s">
        <v>201</v>
      </c>
      <c r="H130" s="166"/>
      <c r="I130" s="124"/>
      <c r="J130" s="124"/>
      <c r="K130" s="125"/>
    </row>
    <row r="131" spans="2:11" ht="22.5">
      <c r="B131" s="99" t="s">
        <v>198</v>
      </c>
      <c r="C131" s="140"/>
      <c r="D131" s="140"/>
      <c r="E131" s="140">
        <v>1559</v>
      </c>
      <c r="F131" s="169">
        <v>1563.1</v>
      </c>
      <c r="G131" s="171" t="s">
        <v>202</v>
      </c>
      <c r="H131" s="166"/>
      <c r="I131" s="124"/>
      <c r="J131" s="124"/>
      <c r="K131" s="125"/>
    </row>
    <row r="132" spans="2:11" ht="23.25" thickBot="1">
      <c r="B132" s="100" t="s">
        <v>199</v>
      </c>
      <c r="C132" s="141"/>
      <c r="D132" s="141"/>
      <c r="E132" s="141">
        <v>1573.374</v>
      </c>
      <c r="F132" s="170">
        <v>1577.4659999999999</v>
      </c>
      <c r="G132" s="172" t="s">
        <v>203</v>
      </c>
      <c r="H132" s="167"/>
      <c r="I132" s="126"/>
      <c r="J132" s="126"/>
      <c r="K132" s="127"/>
    </row>
    <row r="133" spans="2:11" ht="22.5">
      <c r="B133" s="159" t="s">
        <v>207</v>
      </c>
      <c r="C133" s="160">
        <v>824.2</v>
      </c>
      <c r="D133" s="160">
        <v>848.8</v>
      </c>
      <c r="E133" s="160">
        <v>869.2</v>
      </c>
      <c r="F133" s="161">
        <v>893.8</v>
      </c>
      <c r="G133" s="180" t="s">
        <v>12</v>
      </c>
      <c r="H133" s="165">
        <v>1648.4</v>
      </c>
      <c r="I133" s="122">
        <v>1697.6</v>
      </c>
      <c r="J133" s="122">
        <v>2472.6</v>
      </c>
      <c r="K133" s="123">
        <v>2546.4</v>
      </c>
    </row>
    <row r="134" spans="2:11" ht="22.5">
      <c r="B134" s="99" t="s">
        <v>208</v>
      </c>
      <c r="C134" s="157">
        <v>880.2</v>
      </c>
      <c r="D134" s="157">
        <v>914.8</v>
      </c>
      <c r="E134" s="157">
        <v>925.2</v>
      </c>
      <c r="F134" s="162">
        <v>959.8</v>
      </c>
      <c r="G134" s="158" t="s">
        <v>12</v>
      </c>
      <c r="H134" s="166">
        <v>1760.4</v>
      </c>
      <c r="I134" s="124">
        <v>1829.6</v>
      </c>
      <c r="J134" s="124">
        <v>2640.6</v>
      </c>
      <c r="K134" s="125">
        <v>2744.4</v>
      </c>
    </row>
    <row r="135" spans="2:11" ht="22.5">
      <c r="B135" s="99" t="s">
        <v>209</v>
      </c>
      <c r="C135" s="157">
        <v>1710.2</v>
      </c>
      <c r="D135" s="157">
        <v>1784.8</v>
      </c>
      <c r="E135" s="157">
        <v>1805.2</v>
      </c>
      <c r="F135" s="162">
        <v>1879.8</v>
      </c>
      <c r="G135" s="158" t="s">
        <v>12</v>
      </c>
      <c r="H135" s="166">
        <v>3420.4</v>
      </c>
      <c r="I135" s="124">
        <v>3569.6</v>
      </c>
      <c r="J135" s="124">
        <v>5130.6000000000004</v>
      </c>
      <c r="K135" s="125">
        <v>5354.4</v>
      </c>
    </row>
    <row r="136" spans="2:11" ht="23.25" thickBot="1">
      <c r="B136" s="100" t="s">
        <v>210</v>
      </c>
      <c r="C136" s="163">
        <v>1850.2</v>
      </c>
      <c r="D136" s="163">
        <v>1909.8</v>
      </c>
      <c r="E136" s="163">
        <v>1930.2</v>
      </c>
      <c r="F136" s="164">
        <v>1989.8</v>
      </c>
      <c r="G136" s="181" t="s">
        <v>12</v>
      </c>
      <c r="H136" s="167">
        <v>3700.4</v>
      </c>
      <c r="I136" s="126">
        <v>3819.6</v>
      </c>
      <c r="J136" s="126">
        <v>5550.6</v>
      </c>
      <c r="K136" s="127">
        <v>5729.4</v>
      </c>
    </row>
  </sheetData>
  <mergeCells count="10">
    <mergeCell ref="J7:K8"/>
    <mergeCell ref="C9:D9"/>
    <mergeCell ref="E9:F9"/>
    <mergeCell ref="H9:I9"/>
    <mergeCell ref="J9:K9"/>
    <mergeCell ref="B7:B8"/>
    <mergeCell ref="C7:D8"/>
    <mergeCell ref="E7:F8"/>
    <mergeCell ref="G7:G10"/>
    <mergeCell ref="H7:I8"/>
  </mergeCells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1:W68"/>
  <sheetViews>
    <sheetView zoomScaleNormal="100" workbookViewId="0">
      <selection activeCell="C11" sqref="C11:F22"/>
    </sheetView>
  </sheetViews>
  <sheetFormatPr defaultRowHeight="15.75"/>
  <cols>
    <col min="1" max="1" width="1.25" style="2" customWidth="1"/>
    <col min="2" max="2" width="9" style="2" customWidth="1"/>
    <col min="3" max="6" width="8.625" style="2" customWidth="1"/>
    <col min="7" max="7" width="12.375" style="2" customWidth="1"/>
    <col min="8" max="11" width="8.625" style="2" customWidth="1"/>
    <col min="12" max="12" width="7.5" style="2" bestFit="1" customWidth="1"/>
    <col min="13" max="16384" width="9" style="2"/>
  </cols>
  <sheetData>
    <row r="1" spans="2:23">
      <c r="B1" s="21" t="s">
        <v>0</v>
      </c>
    </row>
    <row r="2" spans="2:23">
      <c r="B2" s="22" t="s">
        <v>1</v>
      </c>
    </row>
    <row r="3" spans="2:23">
      <c r="B3" s="23" t="s">
        <v>2</v>
      </c>
    </row>
    <row r="4" spans="2:23" ht="16.5" thickBot="1">
      <c r="B4" s="24" t="s">
        <v>3</v>
      </c>
    </row>
    <row r="5" spans="2:23">
      <c r="B5" s="369" t="s">
        <v>55</v>
      </c>
      <c r="C5" s="370"/>
      <c r="D5" s="371"/>
      <c r="M5" s="369" t="s">
        <v>108</v>
      </c>
      <c r="N5" s="370"/>
      <c r="O5" s="371"/>
    </row>
    <row r="6" spans="2:23" ht="19.5" customHeight="1" thickBot="1">
      <c r="B6" s="372"/>
      <c r="C6" s="373"/>
      <c r="D6" s="374"/>
      <c r="M6" s="372"/>
      <c r="N6" s="373"/>
      <c r="O6" s="374"/>
    </row>
    <row r="7" spans="2:23">
      <c r="B7" s="375"/>
      <c r="C7" s="377" t="s">
        <v>110</v>
      </c>
      <c r="D7" s="378"/>
      <c r="E7" s="381" t="s">
        <v>111</v>
      </c>
      <c r="F7" s="381"/>
      <c r="G7" s="383" t="s">
        <v>112</v>
      </c>
      <c r="H7" s="386" t="s">
        <v>113</v>
      </c>
      <c r="I7" s="387"/>
      <c r="J7" s="390" t="s">
        <v>114</v>
      </c>
      <c r="K7" s="391"/>
      <c r="M7" s="365"/>
      <c r="N7" s="366"/>
      <c r="O7" s="406" t="s">
        <v>96</v>
      </c>
      <c r="P7" s="407"/>
      <c r="Q7" s="410" t="s">
        <v>97</v>
      </c>
      <c r="R7" s="410"/>
      <c r="S7" s="412" t="s">
        <v>98</v>
      </c>
      <c r="T7" s="415" t="s">
        <v>99</v>
      </c>
      <c r="U7" s="416"/>
      <c r="V7" s="398" t="s">
        <v>100</v>
      </c>
      <c r="W7" s="399"/>
    </row>
    <row r="8" spans="2:23" ht="17.25" customHeight="1" thickBot="1">
      <c r="B8" s="376"/>
      <c r="C8" s="379"/>
      <c r="D8" s="380"/>
      <c r="E8" s="382"/>
      <c r="F8" s="382"/>
      <c r="G8" s="384"/>
      <c r="H8" s="388"/>
      <c r="I8" s="389"/>
      <c r="J8" s="392"/>
      <c r="K8" s="393"/>
      <c r="M8" s="367"/>
      <c r="N8" s="368"/>
      <c r="O8" s="408"/>
      <c r="P8" s="409"/>
      <c r="Q8" s="411"/>
      <c r="R8" s="411"/>
      <c r="S8" s="413"/>
      <c r="T8" s="417"/>
      <c r="U8" s="418"/>
      <c r="V8" s="400"/>
      <c r="W8" s="401"/>
    </row>
    <row r="9" spans="2:23" ht="17.25" customHeight="1">
      <c r="B9" s="34" t="s">
        <v>115</v>
      </c>
      <c r="C9" s="394" t="s">
        <v>116</v>
      </c>
      <c r="D9" s="395"/>
      <c r="E9" s="395" t="s">
        <v>116</v>
      </c>
      <c r="F9" s="395"/>
      <c r="G9" s="384"/>
      <c r="H9" s="396" t="s">
        <v>116</v>
      </c>
      <c r="I9" s="395"/>
      <c r="J9" s="395" t="s">
        <v>116</v>
      </c>
      <c r="K9" s="397"/>
      <c r="M9" s="35" t="s">
        <v>101</v>
      </c>
      <c r="N9" s="363" t="s">
        <v>57</v>
      </c>
      <c r="O9" s="402" t="s">
        <v>49</v>
      </c>
      <c r="P9" s="403"/>
      <c r="Q9" s="403" t="s">
        <v>49</v>
      </c>
      <c r="R9" s="403"/>
      <c r="S9" s="413"/>
      <c r="T9" s="404" t="s">
        <v>49</v>
      </c>
      <c r="U9" s="403"/>
      <c r="V9" s="403" t="s">
        <v>49</v>
      </c>
      <c r="W9" s="405"/>
    </row>
    <row r="10" spans="2:23" ht="17.25" customHeight="1" thickBot="1">
      <c r="B10" s="36" t="s">
        <v>117</v>
      </c>
      <c r="C10" s="37" t="s">
        <v>118</v>
      </c>
      <c r="D10" s="38" t="s">
        <v>119</v>
      </c>
      <c r="E10" s="38" t="s">
        <v>120</v>
      </c>
      <c r="F10" s="38" t="s">
        <v>121</v>
      </c>
      <c r="G10" s="385"/>
      <c r="H10" s="39" t="s">
        <v>122</v>
      </c>
      <c r="I10" s="38" t="s">
        <v>123</v>
      </c>
      <c r="J10" s="38" t="s">
        <v>124</v>
      </c>
      <c r="K10" s="40" t="s">
        <v>125</v>
      </c>
      <c r="M10" s="41" t="s">
        <v>56</v>
      </c>
      <c r="N10" s="364"/>
      <c r="O10" s="42" t="s">
        <v>102</v>
      </c>
      <c r="P10" s="43" t="s">
        <v>103</v>
      </c>
      <c r="Q10" s="43" t="s">
        <v>104</v>
      </c>
      <c r="R10" s="43" t="s">
        <v>105</v>
      </c>
      <c r="S10" s="414"/>
      <c r="T10" s="44" t="s">
        <v>48</v>
      </c>
      <c r="U10" s="43" t="s">
        <v>106</v>
      </c>
      <c r="V10" s="43" t="s">
        <v>107</v>
      </c>
      <c r="W10" s="45" t="s">
        <v>52</v>
      </c>
    </row>
    <row r="11" spans="2:23">
      <c r="B11" s="46">
        <v>1</v>
      </c>
      <c r="C11" s="47">
        <v>1920</v>
      </c>
      <c r="D11" s="48">
        <v>1980</v>
      </c>
      <c r="E11" s="48">
        <v>2110</v>
      </c>
      <c r="F11" s="48">
        <v>2170</v>
      </c>
      <c r="G11" s="49" t="s">
        <v>12</v>
      </c>
      <c r="H11" s="50">
        <f>C11*2</f>
        <v>3840</v>
      </c>
      <c r="I11" s="48">
        <f>D11*2</f>
        <v>3960</v>
      </c>
      <c r="J11" s="48">
        <f>C11*3</f>
        <v>5760</v>
      </c>
      <c r="K11" s="51">
        <f>D11*3</f>
        <v>5940</v>
      </c>
      <c r="M11" s="52" t="s">
        <v>58</v>
      </c>
      <c r="N11" s="53">
        <v>800</v>
      </c>
      <c r="O11" s="54">
        <v>815</v>
      </c>
      <c r="P11" s="55">
        <v>849</v>
      </c>
      <c r="Q11" s="55">
        <v>860</v>
      </c>
      <c r="R11" s="55">
        <v>894</v>
      </c>
      <c r="S11" s="56" t="s">
        <v>12</v>
      </c>
      <c r="T11" s="57">
        <v>1630</v>
      </c>
      <c r="U11" s="55">
        <v>1698</v>
      </c>
      <c r="V11" s="55">
        <v>2445</v>
      </c>
      <c r="W11" s="58">
        <v>2547</v>
      </c>
    </row>
    <row r="12" spans="2:23" ht="31.5">
      <c r="B12" s="59">
        <v>2</v>
      </c>
      <c r="C12" s="60">
        <v>1850</v>
      </c>
      <c r="D12" s="61">
        <v>1910</v>
      </c>
      <c r="E12" s="61">
        <v>1930</v>
      </c>
      <c r="F12" s="61">
        <v>1990</v>
      </c>
      <c r="G12" s="62" t="s">
        <v>12</v>
      </c>
      <c r="H12" s="63">
        <f t="shared" ref="H12:I61" si="0">C12*2</f>
        <v>3700</v>
      </c>
      <c r="I12" s="61">
        <f t="shared" si="0"/>
        <v>3820</v>
      </c>
      <c r="J12" s="61">
        <f t="shared" ref="J12:K61" si="1">C12*3</f>
        <v>5550</v>
      </c>
      <c r="K12" s="64">
        <f t="shared" si="1"/>
        <v>5730</v>
      </c>
      <c r="M12" s="65" t="s">
        <v>59</v>
      </c>
      <c r="N12" s="66" t="s">
        <v>60</v>
      </c>
      <c r="O12" s="67">
        <v>1850</v>
      </c>
      <c r="P12" s="68">
        <v>1910</v>
      </c>
      <c r="Q12" s="68">
        <v>1930</v>
      </c>
      <c r="R12" s="68">
        <v>1990</v>
      </c>
      <c r="S12" s="16" t="s">
        <v>12</v>
      </c>
      <c r="T12" s="57">
        <v>3700</v>
      </c>
      <c r="U12" s="55">
        <v>3820</v>
      </c>
      <c r="V12" s="55">
        <v>5550</v>
      </c>
      <c r="W12" s="58">
        <v>5730</v>
      </c>
    </row>
    <row r="13" spans="2:23">
      <c r="B13" s="59">
        <v>3</v>
      </c>
      <c r="C13" s="60">
        <v>1710</v>
      </c>
      <c r="D13" s="61">
        <v>1785</v>
      </c>
      <c r="E13" s="61">
        <v>1805</v>
      </c>
      <c r="F13" s="61">
        <v>1880</v>
      </c>
      <c r="G13" s="62" t="s">
        <v>12</v>
      </c>
      <c r="H13" s="63">
        <f t="shared" si="0"/>
        <v>3420</v>
      </c>
      <c r="I13" s="61">
        <f t="shared" si="0"/>
        <v>3570</v>
      </c>
      <c r="J13" s="61">
        <f t="shared" si="1"/>
        <v>5130</v>
      </c>
      <c r="K13" s="64">
        <f t="shared" si="1"/>
        <v>5355</v>
      </c>
      <c r="M13" s="65" t="s">
        <v>61</v>
      </c>
      <c r="N13" s="66" t="s">
        <v>62</v>
      </c>
      <c r="O13" s="67">
        <v>872</v>
      </c>
      <c r="P13" s="68">
        <v>915</v>
      </c>
      <c r="Q13" s="68">
        <v>917</v>
      </c>
      <c r="R13" s="68">
        <v>960</v>
      </c>
      <c r="S13" s="16" t="s">
        <v>12</v>
      </c>
      <c r="T13" s="57">
        <v>1744</v>
      </c>
      <c r="U13" s="55">
        <v>1830</v>
      </c>
      <c r="V13" s="55">
        <v>2616</v>
      </c>
      <c r="W13" s="58">
        <v>2745</v>
      </c>
    </row>
    <row r="14" spans="2:23">
      <c r="B14" s="59">
        <v>4</v>
      </c>
      <c r="C14" s="60">
        <v>1710</v>
      </c>
      <c r="D14" s="61">
        <v>1755</v>
      </c>
      <c r="E14" s="61">
        <v>2110</v>
      </c>
      <c r="F14" s="61">
        <v>2155</v>
      </c>
      <c r="G14" s="62" t="s">
        <v>12</v>
      </c>
      <c r="H14" s="63">
        <f t="shared" si="0"/>
        <v>3420</v>
      </c>
      <c r="I14" s="61">
        <f t="shared" si="0"/>
        <v>3510</v>
      </c>
      <c r="J14" s="61">
        <f t="shared" si="1"/>
        <v>5130</v>
      </c>
      <c r="K14" s="64">
        <f t="shared" si="1"/>
        <v>5265</v>
      </c>
      <c r="M14" s="65" t="s">
        <v>63</v>
      </c>
      <c r="N14" s="66" t="s">
        <v>64</v>
      </c>
      <c r="O14" s="67">
        <v>887</v>
      </c>
      <c r="P14" s="68">
        <v>925</v>
      </c>
      <c r="Q14" s="68">
        <v>832</v>
      </c>
      <c r="R14" s="68">
        <v>870</v>
      </c>
      <c r="S14" s="16" t="s">
        <v>12</v>
      </c>
      <c r="T14" s="57">
        <v>1774</v>
      </c>
      <c r="U14" s="55">
        <v>1850</v>
      </c>
      <c r="V14" s="55">
        <v>2661</v>
      </c>
      <c r="W14" s="58">
        <v>2775</v>
      </c>
    </row>
    <row r="15" spans="2:23" ht="31.5">
      <c r="B15" s="59">
        <v>5</v>
      </c>
      <c r="C15" s="60">
        <v>824</v>
      </c>
      <c r="D15" s="61">
        <v>849</v>
      </c>
      <c r="E15" s="61">
        <v>869</v>
      </c>
      <c r="F15" s="61">
        <v>894</v>
      </c>
      <c r="G15" s="62" t="s">
        <v>12</v>
      </c>
      <c r="H15" s="63">
        <f t="shared" si="0"/>
        <v>1648</v>
      </c>
      <c r="I15" s="61">
        <f t="shared" si="0"/>
        <v>1698</v>
      </c>
      <c r="J15" s="61">
        <f t="shared" si="1"/>
        <v>2472</v>
      </c>
      <c r="K15" s="64">
        <f t="shared" si="1"/>
        <v>2547</v>
      </c>
      <c r="M15" s="52" t="s">
        <v>65</v>
      </c>
      <c r="N15" s="66" t="s">
        <v>66</v>
      </c>
      <c r="O15" s="54">
        <v>1750</v>
      </c>
      <c r="P15" s="55">
        <v>1780</v>
      </c>
      <c r="Q15" s="55">
        <v>1840</v>
      </c>
      <c r="R15" s="55">
        <v>1870</v>
      </c>
      <c r="S15" s="16" t="s">
        <v>12</v>
      </c>
      <c r="T15" s="57">
        <v>3500</v>
      </c>
      <c r="U15" s="55">
        <v>3560</v>
      </c>
      <c r="V15" s="55">
        <v>5250</v>
      </c>
      <c r="W15" s="58">
        <v>5340</v>
      </c>
    </row>
    <row r="16" spans="2:23">
      <c r="B16" s="59">
        <v>6</v>
      </c>
      <c r="C16" s="60">
        <v>830</v>
      </c>
      <c r="D16" s="61">
        <v>840</v>
      </c>
      <c r="E16" s="61">
        <v>875</v>
      </c>
      <c r="F16" s="61">
        <v>885</v>
      </c>
      <c r="G16" s="62" t="s">
        <v>12</v>
      </c>
      <c r="H16" s="63">
        <f t="shared" si="0"/>
        <v>1660</v>
      </c>
      <c r="I16" s="61">
        <f t="shared" si="0"/>
        <v>1680</v>
      </c>
      <c r="J16" s="61">
        <f t="shared" si="1"/>
        <v>2490</v>
      </c>
      <c r="K16" s="64">
        <f t="shared" si="1"/>
        <v>2520</v>
      </c>
      <c r="M16" s="65" t="s">
        <v>67</v>
      </c>
      <c r="N16" s="66">
        <v>450</v>
      </c>
      <c r="O16" s="67">
        <v>410</v>
      </c>
      <c r="P16" s="68">
        <v>483</v>
      </c>
      <c r="Q16" s="68">
        <v>420</v>
      </c>
      <c r="R16" s="68">
        <v>493</v>
      </c>
      <c r="S16" s="16" t="s">
        <v>12</v>
      </c>
      <c r="T16" s="57">
        <v>820</v>
      </c>
      <c r="U16" s="55">
        <v>966</v>
      </c>
      <c r="V16" s="55">
        <v>1230</v>
      </c>
      <c r="W16" s="58">
        <v>1449</v>
      </c>
    </row>
    <row r="17" spans="2:23">
      <c r="B17" s="59">
        <v>7</v>
      </c>
      <c r="C17" s="60">
        <v>2500</v>
      </c>
      <c r="D17" s="61">
        <v>2570</v>
      </c>
      <c r="E17" s="61">
        <v>2620</v>
      </c>
      <c r="F17" s="61">
        <v>2690</v>
      </c>
      <c r="G17" s="62" t="s">
        <v>12</v>
      </c>
      <c r="H17" s="63">
        <f t="shared" si="0"/>
        <v>5000</v>
      </c>
      <c r="I17" s="61">
        <f t="shared" si="0"/>
        <v>5140</v>
      </c>
      <c r="J17" s="61">
        <f t="shared" si="1"/>
        <v>7500</v>
      </c>
      <c r="K17" s="64">
        <f t="shared" si="1"/>
        <v>7710</v>
      </c>
      <c r="M17" s="65" t="s">
        <v>68</v>
      </c>
      <c r="N17" s="66" t="s">
        <v>69</v>
      </c>
      <c r="O17" s="67">
        <v>1920</v>
      </c>
      <c r="P17" s="68">
        <v>1980</v>
      </c>
      <c r="Q17" s="68">
        <v>2110</v>
      </c>
      <c r="R17" s="68">
        <v>2170</v>
      </c>
      <c r="S17" s="16" t="s">
        <v>12</v>
      </c>
      <c r="T17" s="57">
        <v>3840</v>
      </c>
      <c r="U17" s="55">
        <v>3960</v>
      </c>
      <c r="V17" s="55">
        <v>5760</v>
      </c>
      <c r="W17" s="58">
        <v>5940</v>
      </c>
    </row>
    <row r="18" spans="2:23" ht="31.5">
      <c r="B18" s="59">
        <v>8</v>
      </c>
      <c r="C18" s="60">
        <v>880</v>
      </c>
      <c r="D18" s="61">
        <v>915</v>
      </c>
      <c r="E18" s="61">
        <v>925</v>
      </c>
      <c r="F18" s="61">
        <v>960</v>
      </c>
      <c r="G18" s="62" t="s">
        <v>12</v>
      </c>
      <c r="H18" s="63">
        <f t="shared" si="0"/>
        <v>1760</v>
      </c>
      <c r="I18" s="61">
        <f t="shared" si="0"/>
        <v>1830</v>
      </c>
      <c r="J18" s="61">
        <f t="shared" si="1"/>
        <v>2640</v>
      </c>
      <c r="K18" s="64">
        <f t="shared" si="1"/>
        <v>2745</v>
      </c>
      <c r="M18" s="65" t="s">
        <v>70</v>
      </c>
      <c r="N18" s="66" t="s">
        <v>71</v>
      </c>
      <c r="O18" s="67">
        <v>776</v>
      </c>
      <c r="P18" s="68">
        <v>788</v>
      </c>
      <c r="Q18" s="68">
        <v>746</v>
      </c>
      <c r="R18" s="68">
        <v>758</v>
      </c>
      <c r="S18" s="16" t="s">
        <v>12</v>
      </c>
      <c r="T18" s="57">
        <v>1552</v>
      </c>
      <c r="U18" s="55">
        <v>1576</v>
      </c>
      <c r="V18" s="55">
        <v>2328</v>
      </c>
      <c r="W18" s="58">
        <v>2364</v>
      </c>
    </row>
    <row r="19" spans="2:23">
      <c r="B19" s="59">
        <v>9</v>
      </c>
      <c r="C19" s="60">
        <v>1749.9</v>
      </c>
      <c r="D19" s="61">
        <v>1784.9</v>
      </c>
      <c r="E19" s="61">
        <v>1844.9</v>
      </c>
      <c r="F19" s="61">
        <v>1879.9</v>
      </c>
      <c r="G19" s="62" t="s">
        <v>12</v>
      </c>
      <c r="H19" s="63">
        <f t="shared" si="0"/>
        <v>3499.8</v>
      </c>
      <c r="I19" s="61">
        <f t="shared" si="0"/>
        <v>3569.8</v>
      </c>
      <c r="J19" s="61">
        <f t="shared" si="1"/>
        <v>5249.7000000000007</v>
      </c>
      <c r="K19" s="64">
        <f t="shared" si="1"/>
        <v>5354.7000000000007</v>
      </c>
      <c r="M19" s="52" t="s">
        <v>72</v>
      </c>
      <c r="N19" s="66">
        <v>1800</v>
      </c>
      <c r="O19" s="54">
        <v>1710</v>
      </c>
      <c r="P19" s="55">
        <v>1785</v>
      </c>
      <c r="Q19" s="55">
        <v>1805</v>
      </c>
      <c r="R19" s="55">
        <v>1880</v>
      </c>
      <c r="S19" s="16" t="s">
        <v>12</v>
      </c>
      <c r="T19" s="57">
        <v>3420</v>
      </c>
      <c r="U19" s="55">
        <v>3570</v>
      </c>
      <c r="V19" s="55">
        <v>5130</v>
      </c>
      <c r="W19" s="58">
        <v>5355</v>
      </c>
    </row>
    <row r="20" spans="2:23">
      <c r="B20" s="59">
        <v>10</v>
      </c>
      <c r="C20" s="60">
        <v>1710</v>
      </c>
      <c r="D20" s="61">
        <v>1770</v>
      </c>
      <c r="E20" s="61">
        <v>2110</v>
      </c>
      <c r="F20" s="61">
        <v>2170</v>
      </c>
      <c r="G20" s="62" t="s">
        <v>12</v>
      </c>
      <c r="H20" s="63">
        <f t="shared" si="0"/>
        <v>3420</v>
      </c>
      <c r="I20" s="61">
        <f t="shared" si="0"/>
        <v>3540</v>
      </c>
      <c r="J20" s="61">
        <f t="shared" si="1"/>
        <v>5130</v>
      </c>
      <c r="K20" s="64">
        <f t="shared" si="1"/>
        <v>5310</v>
      </c>
      <c r="M20" s="65" t="s">
        <v>73</v>
      </c>
      <c r="N20" s="66">
        <v>900</v>
      </c>
      <c r="O20" s="67">
        <v>880</v>
      </c>
      <c r="P20" s="68">
        <v>915</v>
      </c>
      <c r="Q20" s="68">
        <v>925</v>
      </c>
      <c r="R20" s="68">
        <v>960</v>
      </c>
      <c r="S20" s="16" t="s">
        <v>12</v>
      </c>
      <c r="T20" s="57">
        <v>1760</v>
      </c>
      <c r="U20" s="55">
        <v>1830</v>
      </c>
      <c r="V20" s="55">
        <v>2640</v>
      </c>
      <c r="W20" s="58">
        <v>2745</v>
      </c>
    </row>
    <row r="21" spans="2:23" ht="31.5">
      <c r="B21" s="59">
        <v>11</v>
      </c>
      <c r="C21" s="60">
        <v>1427.9</v>
      </c>
      <c r="D21" s="61">
        <v>1447.9</v>
      </c>
      <c r="E21" s="61">
        <v>1475.9</v>
      </c>
      <c r="F21" s="61">
        <v>1495.9</v>
      </c>
      <c r="G21" s="62" t="s">
        <v>12</v>
      </c>
      <c r="H21" s="63">
        <f t="shared" si="0"/>
        <v>2855.8</v>
      </c>
      <c r="I21" s="61">
        <f t="shared" si="0"/>
        <v>2895.8</v>
      </c>
      <c r="J21" s="61">
        <f t="shared" si="1"/>
        <v>4283.7000000000007</v>
      </c>
      <c r="K21" s="64">
        <f t="shared" si="1"/>
        <v>4343.7000000000007</v>
      </c>
      <c r="M21" s="65" t="s">
        <v>74</v>
      </c>
      <c r="N21" s="66" t="s">
        <v>75</v>
      </c>
      <c r="O21" s="67">
        <v>806</v>
      </c>
      <c r="P21" s="68">
        <v>901</v>
      </c>
      <c r="Q21" s="68">
        <v>851</v>
      </c>
      <c r="R21" s="68">
        <v>940</v>
      </c>
      <c r="S21" s="16" t="s">
        <v>12</v>
      </c>
      <c r="T21" s="57">
        <v>1612</v>
      </c>
      <c r="U21" s="55">
        <v>1802</v>
      </c>
      <c r="V21" s="55">
        <v>2418</v>
      </c>
      <c r="W21" s="58">
        <v>2703</v>
      </c>
    </row>
    <row r="22" spans="2:23" ht="47.25">
      <c r="B22" s="59">
        <v>12</v>
      </c>
      <c r="C22" s="60">
        <v>699</v>
      </c>
      <c r="D22" s="61">
        <v>716</v>
      </c>
      <c r="E22" s="61">
        <v>729</v>
      </c>
      <c r="F22" s="61">
        <v>746</v>
      </c>
      <c r="G22" s="62" t="s">
        <v>12</v>
      </c>
      <c r="H22" s="63">
        <f t="shared" si="0"/>
        <v>1398</v>
      </c>
      <c r="I22" s="61">
        <f t="shared" si="0"/>
        <v>1432</v>
      </c>
      <c r="J22" s="61">
        <f t="shared" si="1"/>
        <v>2097</v>
      </c>
      <c r="K22" s="64">
        <f t="shared" si="1"/>
        <v>2148</v>
      </c>
      <c r="M22" s="65" t="s">
        <v>76</v>
      </c>
      <c r="N22" s="66" t="s">
        <v>77</v>
      </c>
      <c r="O22" s="67">
        <v>410</v>
      </c>
      <c r="P22" s="68">
        <v>483</v>
      </c>
      <c r="Q22" s="68">
        <v>420</v>
      </c>
      <c r="R22" s="68">
        <v>493</v>
      </c>
      <c r="S22" s="16" t="s">
        <v>12</v>
      </c>
      <c r="T22" s="57">
        <v>820</v>
      </c>
      <c r="U22" s="55">
        <v>966</v>
      </c>
      <c r="V22" s="55">
        <v>1230</v>
      </c>
      <c r="W22" s="58">
        <v>1449</v>
      </c>
    </row>
    <row r="23" spans="2:23" ht="47.25">
      <c r="B23" s="59">
        <v>13</v>
      </c>
      <c r="C23" s="60">
        <v>777</v>
      </c>
      <c r="D23" s="61">
        <v>787</v>
      </c>
      <c r="E23" s="61">
        <v>746</v>
      </c>
      <c r="F23" s="61">
        <v>756</v>
      </c>
      <c r="G23" s="62" t="s">
        <v>12</v>
      </c>
      <c r="H23" s="63">
        <f t="shared" si="0"/>
        <v>1554</v>
      </c>
      <c r="I23" s="61">
        <f t="shared" si="0"/>
        <v>1574</v>
      </c>
      <c r="J23" s="61">
        <f t="shared" si="1"/>
        <v>2331</v>
      </c>
      <c r="K23" s="64">
        <f t="shared" si="1"/>
        <v>2361</v>
      </c>
      <c r="M23" s="52" t="s">
        <v>78</v>
      </c>
      <c r="N23" s="66" t="s">
        <v>79</v>
      </c>
      <c r="O23" s="54">
        <v>870</v>
      </c>
      <c r="P23" s="55">
        <v>876</v>
      </c>
      <c r="Q23" s="55">
        <v>915</v>
      </c>
      <c r="R23" s="55">
        <v>921</v>
      </c>
      <c r="S23" s="16" t="s">
        <v>12</v>
      </c>
      <c r="T23" s="57">
        <v>1740</v>
      </c>
      <c r="U23" s="55">
        <v>1752</v>
      </c>
      <c r="V23" s="55">
        <v>2610</v>
      </c>
      <c r="W23" s="58">
        <v>2628</v>
      </c>
    </row>
    <row r="24" spans="2:23" ht="63">
      <c r="B24" s="59">
        <v>14</v>
      </c>
      <c r="C24" s="60">
        <v>788</v>
      </c>
      <c r="D24" s="61">
        <v>798</v>
      </c>
      <c r="E24" s="61">
        <v>758</v>
      </c>
      <c r="F24" s="61">
        <v>768</v>
      </c>
      <c r="G24" s="62" t="s">
        <v>12</v>
      </c>
      <c r="H24" s="63">
        <f t="shared" si="0"/>
        <v>1576</v>
      </c>
      <c r="I24" s="61">
        <f t="shared" si="0"/>
        <v>1596</v>
      </c>
      <c r="J24" s="61">
        <f t="shared" si="1"/>
        <v>2364</v>
      </c>
      <c r="K24" s="64">
        <f t="shared" si="1"/>
        <v>2394</v>
      </c>
      <c r="M24" s="65" t="s">
        <v>80</v>
      </c>
      <c r="N24" s="66" t="s">
        <v>81</v>
      </c>
      <c r="O24" s="67">
        <v>2500</v>
      </c>
      <c r="P24" s="68">
        <v>2570</v>
      </c>
      <c r="Q24" s="68">
        <v>2620</v>
      </c>
      <c r="R24" s="68">
        <v>2690</v>
      </c>
      <c r="S24" s="16" t="s">
        <v>12</v>
      </c>
      <c r="T24" s="57">
        <v>5000</v>
      </c>
      <c r="U24" s="55">
        <v>5140</v>
      </c>
      <c r="V24" s="55">
        <v>7500</v>
      </c>
      <c r="W24" s="58">
        <v>7710</v>
      </c>
    </row>
    <row r="25" spans="2:23" ht="31.5">
      <c r="B25" s="59">
        <v>15</v>
      </c>
      <c r="C25" s="69" t="s">
        <v>13</v>
      </c>
      <c r="D25" s="61"/>
      <c r="E25" s="61"/>
      <c r="F25" s="61"/>
      <c r="G25" s="62" t="s">
        <v>12</v>
      </c>
      <c r="H25" s="63"/>
      <c r="I25" s="61"/>
      <c r="J25" s="61"/>
      <c r="K25" s="64"/>
      <c r="M25" s="65" t="s">
        <v>82</v>
      </c>
      <c r="N25" s="66" t="s">
        <v>83</v>
      </c>
      <c r="O25" s="67">
        <v>1850</v>
      </c>
      <c r="P25" s="68">
        <v>1915</v>
      </c>
      <c r="Q25" s="68">
        <v>1930</v>
      </c>
      <c r="R25" s="68">
        <v>1995</v>
      </c>
      <c r="S25" s="16" t="s">
        <v>12</v>
      </c>
      <c r="T25" s="57">
        <v>3700</v>
      </c>
      <c r="U25" s="55">
        <v>3830</v>
      </c>
      <c r="V25" s="55">
        <v>5550</v>
      </c>
      <c r="W25" s="58">
        <v>5745</v>
      </c>
    </row>
    <row r="26" spans="2:23">
      <c r="B26" s="59">
        <v>16</v>
      </c>
      <c r="C26" s="69" t="s">
        <v>13</v>
      </c>
      <c r="D26" s="61"/>
      <c r="E26" s="61"/>
      <c r="F26" s="61"/>
      <c r="G26" s="62" t="s">
        <v>12</v>
      </c>
      <c r="H26" s="63"/>
      <c r="I26" s="61"/>
      <c r="J26" s="61"/>
      <c r="K26" s="64"/>
      <c r="M26" s="65" t="s">
        <v>84</v>
      </c>
      <c r="N26" s="66" t="s">
        <v>85</v>
      </c>
      <c r="O26" s="67">
        <v>1710</v>
      </c>
      <c r="P26" s="68">
        <v>1755</v>
      </c>
      <c r="Q26" s="68">
        <v>2110</v>
      </c>
      <c r="R26" s="68">
        <v>2155</v>
      </c>
      <c r="S26" s="16" t="s">
        <v>12</v>
      </c>
      <c r="T26" s="57">
        <v>3420</v>
      </c>
      <c r="U26" s="55">
        <v>3510</v>
      </c>
      <c r="V26" s="55">
        <v>5130</v>
      </c>
      <c r="W26" s="58">
        <v>5265</v>
      </c>
    </row>
    <row r="27" spans="2:23" ht="31.5">
      <c r="B27" s="59">
        <v>17</v>
      </c>
      <c r="C27" s="60">
        <v>704</v>
      </c>
      <c r="D27" s="61">
        <v>716</v>
      </c>
      <c r="E27" s="61">
        <v>734</v>
      </c>
      <c r="F27" s="61">
        <v>746</v>
      </c>
      <c r="G27" s="62" t="s">
        <v>12</v>
      </c>
      <c r="H27" s="63">
        <f t="shared" si="0"/>
        <v>1408</v>
      </c>
      <c r="I27" s="61">
        <f t="shared" si="0"/>
        <v>1432</v>
      </c>
      <c r="J27" s="61">
        <f t="shared" si="1"/>
        <v>2112</v>
      </c>
      <c r="K27" s="64">
        <f t="shared" si="1"/>
        <v>2148</v>
      </c>
      <c r="M27" s="52" t="s">
        <v>86</v>
      </c>
      <c r="N27" s="66" t="s">
        <v>87</v>
      </c>
      <c r="O27" s="54">
        <v>2502</v>
      </c>
      <c r="P27" s="55">
        <v>2568</v>
      </c>
      <c r="Q27" s="55">
        <v>2624</v>
      </c>
      <c r="R27" s="55">
        <v>2690</v>
      </c>
      <c r="S27" s="16" t="s">
        <v>12</v>
      </c>
      <c r="T27" s="57">
        <v>5004</v>
      </c>
      <c r="U27" s="55">
        <v>5136</v>
      </c>
      <c r="V27" s="55">
        <v>7506</v>
      </c>
      <c r="W27" s="58">
        <v>7704</v>
      </c>
    </row>
    <row r="28" spans="2:23">
      <c r="B28" s="59">
        <v>18</v>
      </c>
      <c r="C28" s="60">
        <v>815</v>
      </c>
      <c r="D28" s="61">
        <v>830</v>
      </c>
      <c r="E28" s="61">
        <v>860</v>
      </c>
      <c r="F28" s="61">
        <v>875</v>
      </c>
      <c r="G28" s="62" t="s">
        <v>12</v>
      </c>
      <c r="H28" s="63">
        <f t="shared" si="0"/>
        <v>1630</v>
      </c>
      <c r="I28" s="61">
        <f t="shared" si="0"/>
        <v>1660</v>
      </c>
      <c r="J28" s="61">
        <f t="shared" si="1"/>
        <v>2445</v>
      </c>
      <c r="K28" s="64">
        <f t="shared" si="1"/>
        <v>2490</v>
      </c>
      <c r="M28" s="65" t="s">
        <v>88</v>
      </c>
      <c r="N28" s="66" t="s">
        <v>89</v>
      </c>
      <c r="O28" s="67">
        <v>787</v>
      </c>
      <c r="P28" s="68">
        <v>799</v>
      </c>
      <c r="Q28" s="68">
        <v>757</v>
      </c>
      <c r="R28" s="68">
        <v>769</v>
      </c>
      <c r="S28" s="16" t="s">
        <v>12</v>
      </c>
      <c r="T28" s="57">
        <v>1574</v>
      </c>
      <c r="U28" s="55">
        <v>1598</v>
      </c>
      <c r="V28" s="55">
        <v>2361</v>
      </c>
      <c r="W28" s="58">
        <v>2397</v>
      </c>
    </row>
    <row r="29" spans="2:23" ht="31.5">
      <c r="B29" s="59">
        <v>19</v>
      </c>
      <c r="C29" s="60">
        <v>830</v>
      </c>
      <c r="D29" s="61">
        <v>845</v>
      </c>
      <c r="E29" s="61">
        <v>875</v>
      </c>
      <c r="F29" s="61">
        <v>890</v>
      </c>
      <c r="G29" s="62" t="s">
        <v>12</v>
      </c>
      <c r="H29" s="63">
        <f t="shared" si="0"/>
        <v>1660</v>
      </c>
      <c r="I29" s="61">
        <f t="shared" si="0"/>
        <v>1690</v>
      </c>
      <c r="J29" s="61">
        <f t="shared" si="1"/>
        <v>2490</v>
      </c>
      <c r="K29" s="64">
        <f t="shared" si="1"/>
        <v>2535</v>
      </c>
      <c r="M29" s="65" t="s">
        <v>90</v>
      </c>
      <c r="N29" s="66" t="s">
        <v>91</v>
      </c>
      <c r="O29" s="67">
        <v>698</v>
      </c>
      <c r="P29" s="68">
        <v>716</v>
      </c>
      <c r="Q29" s="68">
        <v>728</v>
      </c>
      <c r="R29" s="68">
        <v>746</v>
      </c>
      <c r="S29" s="16" t="s">
        <v>12</v>
      </c>
      <c r="T29" s="57">
        <v>1396</v>
      </c>
      <c r="U29" s="55">
        <v>1432</v>
      </c>
      <c r="V29" s="55">
        <v>2094</v>
      </c>
      <c r="W29" s="58">
        <v>2148</v>
      </c>
    </row>
    <row r="30" spans="2:23" ht="31.5">
      <c r="B30" s="59">
        <v>20</v>
      </c>
      <c r="C30" s="60">
        <v>832</v>
      </c>
      <c r="D30" s="61">
        <v>862</v>
      </c>
      <c r="E30" s="61">
        <v>791</v>
      </c>
      <c r="F30" s="61">
        <v>821</v>
      </c>
      <c r="G30" s="62" t="s">
        <v>12</v>
      </c>
      <c r="H30" s="63">
        <f t="shared" si="0"/>
        <v>1664</v>
      </c>
      <c r="I30" s="61">
        <f t="shared" si="0"/>
        <v>1724</v>
      </c>
      <c r="J30" s="61">
        <f t="shared" si="1"/>
        <v>2496</v>
      </c>
      <c r="K30" s="64">
        <f t="shared" si="1"/>
        <v>2586</v>
      </c>
      <c r="M30" s="65" t="s">
        <v>92</v>
      </c>
      <c r="N30" s="66" t="s">
        <v>93</v>
      </c>
      <c r="O30" s="67">
        <v>1626.5</v>
      </c>
      <c r="P30" s="68">
        <v>1660.5</v>
      </c>
      <c r="Q30" s="68">
        <v>1525</v>
      </c>
      <c r="R30" s="68">
        <v>1559</v>
      </c>
      <c r="S30" s="16" t="s">
        <v>12</v>
      </c>
      <c r="T30" s="57">
        <v>3253</v>
      </c>
      <c r="U30" s="55">
        <v>3321</v>
      </c>
      <c r="V30" s="55">
        <v>4879.5</v>
      </c>
      <c r="W30" s="58">
        <v>4981.5</v>
      </c>
    </row>
    <row r="31" spans="2:23" ht="32.25" thickBot="1">
      <c r="B31" s="59">
        <v>21</v>
      </c>
      <c r="C31" s="60">
        <v>1447.9</v>
      </c>
      <c r="D31" s="61">
        <v>1462.9</v>
      </c>
      <c r="E31" s="61">
        <v>1495.9</v>
      </c>
      <c r="F31" s="61">
        <v>1510.9</v>
      </c>
      <c r="G31" s="62" t="s">
        <v>12</v>
      </c>
      <c r="H31" s="63">
        <f t="shared" si="0"/>
        <v>2895.8</v>
      </c>
      <c r="I31" s="61">
        <f t="shared" si="0"/>
        <v>2925.8</v>
      </c>
      <c r="J31" s="61">
        <f t="shared" si="1"/>
        <v>4343.7000000000007</v>
      </c>
      <c r="K31" s="64">
        <f t="shared" si="1"/>
        <v>4388.7000000000007</v>
      </c>
      <c r="M31" s="70" t="s">
        <v>94</v>
      </c>
      <c r="N31" s="71" t="s">
        <v>95</v>
      </c>
      <c r="O31" s="72">
        <v>2000</v>
      </c>
      <c r="P31" s="73">
        <v>2020</v>
      </c>
      <c r="Q31" s="73">
        <v>2180</v>
      </c>
      <c r="R31" s="73">
        <v>2200</v>
      </c>
      <c r="S31" s="74" t="s">
        <v>12</v>
      </c>
      <c r="T31" s="75">
        <v>4000</v>
      </c>
      <c r="U31" s="73">
        <v>4040</v>
      </c>
      <c r="V31" s="73">
        <v>6000</v>
      </c>
      <c r="W31" s="76">
        <v>6060</v>
      </c>
    </row>
    <row r="32" spans="2:23">
      <c r="B32" s="59">
        <v>22</v>
      </c>
      <c r="C32" s="60">
        <v>3410</v>
      </c>
      <c r="D32" s="61">
        <v>3490</v>
      </c>
      <c r="E32" s="61">
        <v>3510</v>
      </c>
      <c r="F32" s="61">
        <v>3590</v>
      </c>
      <c r="G32" s="62" t="s">
        <v>12</v>
      </c>
      <c r="H32" s="63">
        <f t="shared" si="0"/>
        <v>6820</v>
      </c>
      <c r="I32" s="61">
        <f t="shared" si="0"/>
        <v>6980</v>
      </c>
      <c r="J32" s="61">
        <f t="shared" si="1"/>
        <v>10230</v>
      </c>
      <c r="K32" s="64">
        <f t="shared" si="1"/>
        <v>10470</v>
      </c>
    </row>
    <row r="33" spans="2:11">
      <c r="B33" s="59">
        <v>23</v>
      </c>
      <c r="C33" s="60">
        <v>2000</v>
      </c>
      <c r="D33" s="61">
        <v>2020</v>
      </c>
      <c r="E33" s="61">
        <v>2180</v>
      </c>
      <c r="F33" s="61">
        <v>2200</v>
      </c>
      <c r="G33" s="62" t="s">
        <v>12</v>
      </c>
      <c r="H33" s="63">
        <f t="shared" si="0"/>
        <v>4000</v>
      </c>
      <c r="I33" s="61">
        <f t="shared" si="0"/>
        <v>4040</v>
      </c>
      <c r="J33" s="61">
        <f t="shared" si="1"/>
        <v>6000</v>
      </c>
      <c r="K33" s="64">
        <f t="shared" si="1"/>
        <v>6060</v>
      </c>
    </row>
    <row r="34" spans="2:11">
      <c r="B34" s="59">
        <v>24</v>
      </c>
      <c r="C34" s="60">
        <v>1626.5</v>
      </c>
      <c r="D34" s="61">
        <v>1660.5</v>
      </c>
      <c r="E34" s="61">
        <v>1525</v>
      </c>
      <c r="F34" s="61">
        <v>1559</v>
      </c>
      <c r="G34" s="62" t="s">
        <v>12</v>
      </c>
      <c r="H34" s="63">
        <f t="shared" si="0"/>
        <v>3253</v>
      </c>
      <c r="I34" s="61">
        <f t="shared" si="0"/>
        <v>3321</v>
      </c>
      <c r="J34" s="61">
        <f t="shared" si="1"/>
        <v>4879.5</v>
      </c>
      <c r="K34" s="64">
        <f t="shared" si="1"/>
        <v>4981.5</v>
      </c>
    </row>
    <row r="35" spans="2:11">
      <c r="B35" s="59">
        <v>25</v>
      </c>
      <c r="C35" s="60">
        <v>1850</v>
      </c>
      <c r="D35" s="61">
        <v>1915</v>
      </c>
      <c r="E35" s="61">
        <v>1930</v>
      </c>
      <c r="F35" s="61">
        <v>1995</v>
      </c>
      <c r="G35" s="62" t="s">
        <v>12</v>
      </c>
      <c r="H35" s="63">
        <f t="shared" si="0"/>
        <v>3700</v>
      </c>
      <c r="I35" s="61">
        <f t="shared" si="0"/>
        <v>3830</v>
      </c>
      <c r="J35" s="61">
        <f t="shared" si="1"/>
        <v>5550</v>
      </c>
      <c r="K35" s="64">
        <f t="shared" si="1"/>
        <v>5745</v>
      </c>
    </row>
    <row r="36" spans="2:11">
      <c r="B36" s="59">
        <v>26</v>
      </c>
      <c r="C36" s="60">
        <v>814</v>
      </c>
      <c r="D36" s="61">
        <v>849</v>
      </c>
      <c r="E36" s="61">
        <v>859</v>
      </c>
      <c r="F36" s="61">
        <v>894</v>
      </c>
      <c r="G36" s="62" t="s">
        <v>12</v>
      </c>
      <c r="H36" s="63">
        <f t="shared" si="0"/>
        <v>1628</v>
      </c>
      <c r="I36" s="61">
        <f t="shared" si="0"/>
        <v>1698</v>
      </c>
      <c r="J36" s="61">
        <f t="shared" si="1"/>
        <v>2442</v>
      </c>
      <c r="K36" s="64">
        <f t="shared" si="1"/>
        <v>2547</v>
      </c>
    </row>
    <row r="37" spans="2:11">
      <c r="B37" s="59">
        <v>27</v>
      </c>
      <c r="C37" s="60">
        <v>807</v>
      </c>
      <c r="D37" s="61">
        <v>824</v>
      </c>
      <c r="E37" s="61">
        <v>852</v>
      </c>
      <c r="F37" s="61">
        <v>869</v>
      </c>
      <c r="G37" s="62" t="s">
        <v>12</v>
      </c>
      <c r="H37" s="63">
        <f t="shared" si="0"/>
        <v>1614</v>
      </c>
      <c r="I37" s="61">
        <f t="shared" si="0"/>
        <v>1648</v>
      </c>
      <c r="J37" s="61">
        <f t="shared" si="1"/>
        <v>2421</v>
      </c>
      <c r="K37" s="64">
        <f t="shared" si="1"/>
        <v>2472</v>
      </c>
    </row>
    <row r="38" spans="2:11">
      <c r="B38" s="59">
        <v>28</v>
      </c>
      <c r="C38" s="60">
        <v>703</v>
      </c>
      <c r="D38" s="61">
        <v>748</v>
      </c>
      <c r="E38" s="61">
        <v>758</v>
      </c>
      <c r="F38" s="61">
        <v>803</v>
      </c>
      <c r="G38" s="62" t="s">
        <v>12</v>
      </c>
      <c r="H38" s="63">
        <f t="shared" si="0"/>
        <v>1406</v>
      </c>
      <c r="I38" s="61">
        <f t="shared" si="0"/>
        <v>1496</v>
      </c>
      <c r="J38" s="61">
        <f t="shared" si="1"/>
        <v>2109</v>
      </c>
      <c r="K38" s="64">
        <f t="shared" si="1"/>
        <v>2244</v>
      </c>
    </row>
    <row r="39" spans="2:11" ht="18">
      <c r="B39" s="59">
        <v>29</v>
      </c>
      <c r="C39" s="60"/>
      <c r="D39" s="61"/>
      <c r="E39" s="61">
        <v>717</v>
      </c>
      <c r="F39" s="61">
        <v>728</v>
      </c>
      <c r="G39" s="62" t="s">
        <v>126</v>
      </c>
      <c r="H39" s="63"/>
      <c r="I39" s="61"/>
      <c r="J39" s="61"/>
      <c r="K39" s="64"/>
    </row>
    <row r="40" spans="2:11">
      <c r="B40" s="59">
        <v>31</v>
      </c>
      <c r="C40" s="60">
        <v>452.5</v>
      </c>
      <c r="D40" s="61">
        <v>457.5</v>
      </c>
      <c r="E40" s="61">
        <v>462.5</v>
      </c>
      <c r="F40" s="61">
        <v>467.5</v>
      </c>
      <c r="G40" s="62" t="s">
        <v>12</v>
      </c>
      <c r="H40" s="63">
        <f t="shared" si="0"/>
        <v>905</v>
      </c>
      <c r="I40" s="61">
        <f t="shared" si="0"/>
        <v>915</v>
      </c>
      <c r="J40" s="61">
        <f t="shared" si="1"/>
        <v>1357.5</v>
      </c>
      <c r="K40" s="64">
        <f t="shared" si="1"/>
        <v>1372.5</v>
      </c>
    </row>
    <row r="41" spans="2:11">
      <c r="B41" s="59">
        <v>32</v>
      </c>
      <c r="C41" s="60">
        <v>1452</v>
      </c>
      <c r="D41" s="61">
        <v>1496</v>
      </c>
      <c r="E41" s="61"/>
      <c r="F41" s="61"/>
      <c r="G41" s="62" t="s">
        <v>12</v>
      </c>
      <c r="H41" s="63">
        <f t="shared" si="0"/>
        <v>2904</v>
      </c>
      <c r="I41" s="61">
        <f t="shared" si="0"/>
        <v>2992</v>
      </c>
      <c r="J41" s="61">
        <f t="shared" si="1"/>
        <v>4356</v>
      </c>
      <c r="K41" s="64">
        <f t="shared" si="1"/>
        <v>4488</v>
      </c>
    </row>
    <row r="42" spans="2:11">
      <c r="B42" s="59">
        <v>65</v>
      </c>
      <c r="C42" s="60">
        <v>1920</v>
      </c>
      <c r="D42" s="61">
        <v>2010</v>
      </c>
      <c r="E42" s="61">
        <v>2110</v>
      </c>
      <c r="F42" s="61">
        <v>2200</v>
      </c>
      <c r="G42" s="62" t="s">
        <v>12</v>
      </c>
      <c r="H42" s="63">
        <f t="shared" si="0"/>
        <v>3840</v>
      </c>
      <c r="I42" s="61">
        <f t="shared" si="0"/>
        <v>4020</v>
      </c>
      <c r="J42" s="61">
        <f t="shared" si="1"/>
        <v>5760</v>
      </c>
      <c r="K42" s="64">
        <f t="shared" si="1"/>
        <v>6030</v>
      </c>
    </row>
    <row r="43" spans="2:11">
      <c r="B43" s="59">
        <v>66</v>
      </c>
      <c r="C43" s="60">
        <v>1710</v>
      </c>
      <c r="D43" s="61">
        <v>1780</v>
      </c>
      <c r="E43" s="61">
        <v>2110</v>
      </c>
      <c r="F43" s="61">
        <v>2200</v>
      </c>
      <c r="G43" s="62" t="s">
        <v>12</v>
      </c>
      <c r="H43" s="63">
        <f t="shared" si="0"/>
        <v>3420</v>
      </c>
      <c r="I43" s="61">
        <f t="shared" si="0"/>
        <v>3560</v>
      </c>
      <c r="J43" s="61">
        <f t="shared" si="1"/>
        <v>5130</v>
      </c>
      <c r="K43" s="64">
        <f t="shared" si="1"/>
        <v>5340</v>
      </c>
    </row>
    <row r="44" spans="2:11">
      <c r="B44" s="59">
        <v>67</v>
      </c>
      <c r="C44" s="60"/>
      <c r="D44" s="61"/>
      <c r="E44" s="61">
        <v>738</v>
      </c>
      <c r="F44" s="61">
        <v>758</v>
      </c>
      <c r="G44" s="62" t="s">
        <v>12</v>
      </c>
      <c r="H44" s="63"/>
      <c r="I44" s="61"/>
      <c r="J44" s="61"/>
      <c r="K44" s="64"/>
    </row>
    <row r="45" spans="2:11">
      <c r="B45" s="59">
        <v>68</v>
      </c>
      <c r="C45" s="60">
        <v>698</v>
      </c>
      <c r="D45" s="61">
        <v>728</v>
      </c>
      <c r="E45" s="61">
        <v>753</v>
      </c>
      <c r="F45" s="61">
        <v>783</v>
      </c>
      <c r="G45" s="62" t="s">
        <v>12</v>
      </c>
      <c r="H45" s="63">
        <f t="shared" si="0"/>
        <v>1396</v>
      </c>
      <c r="I45" s="61">
        <f t="shared" si="0"/>
        <v>1456</v>
      </c>
      <c r="J45" s="61">
        <f t="shared" si="1"/>
        <v>2094</v>
      </c>
      <c r="K45" s="64">
        <f t="shared" si="1"/>
        <v>2184</v>
      </c>
    </row>
    <row r="46" spans="2:11">
      <c r="B46" s="59">
        <v>69</v>
      </c>
      <c r="C46" s="60"/>
      <c r="D46" s="61"/>
      <c r="E46" s="61">
        <v>2570</v>
      </c>
      <c r="F46" s="61">
        <v>2620</v>
      </c>
      <c r="G46" s="62" t="s">
        <v>12</v>
      </c>
      <c r="H46" s="63"/>
      <c r="I46" s="61"/>
      <c r="J46" s="61"/>
      <c r="K46" s="64"/>
    </row>
    <row r="47" spans="2:11">
      <c r="B47" s="59">
        <v>70</v>
      </c>
      <c r="C47" s="60">
        <v>1695</v>
      </c>
      <c r="D47" s="61">
        <v>1710</v>
      </c>
      <c r="E47" s="61">
        <v>1995</v>
      </c>
      <c r="F47" s="61">
        <v>2020</v>
      </c>
      <c r="G47" s="62" t="s">
        <v>12</v>
      </c>
      <c r="H47" s="63">
        <f t="shared" si="0"/>
        <v>3390</v>
      </c>
      <c r="I47" s="61">
        <f t="shared" si="0"/>
        <v>3420</v>
      </c>
      <c r="J47" s="61">
        <f t="shared" si="1"/>
        <v>5085</v>
      </c>
      <c r="K47" s="64">
        <f t="shared" si="1"/>
        <v>5130</v>
      </c>
    </row>
    <row r="48" spans="2:11">
      <c r="B48" s="59">
        <v>252</v>
      </c>
      <c r="C48" s="60">
        <v>0</v>
      </c>
      <c r="D48" s="61"/>
      <c r="E48" s="61">
        <v>5150</v>
      </c>
      <c r="F48" s="61">
        <v>5250</v>
      </c>
      <c r="G48" s="62" t="s">
        <v>12</v>
      </c>
      <c r="H48" s="63"/>
      <c r="I48" s="61"/>
      <c r="J48" s="61"/>
      <c r="K48" s="64"/>
    </row>
    <row r="49" spans="2:11">
      <c r="B49" s="59">
        <v>255</v>
      </c>
      <c r="C49" s="60"/>
      <c r="D49" s="61"/>
      <c r="E49" s="61">
        <v>5725</v>
      </c>
      <c r="F49" s="61">
        <v>5850</v>
      </c>
      <c r="G49" s="62" t="s">
        <v>12</v>
      </c>
      <c r="H49" s="63"/>
      <c r="I49" s="61"/>
      <c r="J49" s="61"/>
      <c r="K49" s="64"/>
    </row>
    <row r="50" spans="2:11">
      <c r="B50" s="59" t="s">
        <v>14</v>
      </c>
      <c r="C50" s="60"/>
      <c r="D50" s="61"/>
      <c r="E50" s="61"/>
      <c r="F50" s="61"/>
      <c r="G50" s="77"/>
      <c r="H50" s="63"/>
      <c r="I50" s="61"/>
      <c r="J50" s="61"/>
      <c r="K50" s="64"/>
    </row>
    <row r="51" spans="2:11">
      <c r="B51" s="59">
        <v>33</v>
      </c>
      <c r="C51" s="60">
        <v>1900</v>
      </c>
      <c r="D51" s="61">
        <v>1920</v>
      </c>
      <c r="E51" s="61">
        <v>1900</v>
      </c>
      <c r="F51" s="61">
        <v>1920</v>
      </c>
      <c r="G51" s="78" t="s">
        <v>15</v>
      </c>
      <c r="H51" s="63">
        <f t="shared" si="0"/>
        <v>3800</v>
      </c>
      <c r="I51" s="61">
        <f t="shared" si="0"/>
        <v>3840</v>
      </c>
      <c r="J51" s="61">
        <f t="shared" si="1"/>
        <v>5700</v>
      </c>
      <c r="K51" s="64">
        <f t="shared" si="1"/>
        <v>5760</v>
      </c>
    </row>
    <row r="52" spans="2:11">
      <c r="B52" s="59">
        <v>34</v>
      </c>
      <c r="C52" s="60">
        <v>2010</v>
      </c>
      <c r="D52" s="61">
        <v>2025</v>
      </c>
      <c r="E52" s="61">
        <v>2010</v>
      </c>
      <c r="F52" s="61">
        <v>2025</v>
      </c>
      <c r="G52" s="78" t="s">
        <v>15</v>
      </c>
      <c r="H52" s="63">
        <f t="shared" si="0"/>
        <v>4020</v>
      </c>
      <c r="I52" s="61">
        <f t="shared" si="0"/>
        <v>4050</v>
      </c>
      <c r="J52" s="61">
        <f t="shared" si="1"/>
        <v>6030</v>
      </c>
      <c r="K52" s="64">
        <f t="shared" si="1"/>
        <v>6075</v>
      </c>
    </row>
    <row r="53" spans="2:11">
      <c r="B53" s="59">
        <v>35</v>
      </c>
      <c r="C53" s="60">
        <v>1850</v>
      </c>
      <c r="D53" s="61">
        <v>1910</v>
      </c>
      <c r="E53" s="61">
        <v>1850</v>
      </c>
      <c r="F53" s="61">
        <v>1910</v>
      </c>
      <c r="G53" s="78" t="s">
        <v>15</v>
      </c>
      <c r="H53" s="63">
        <f t="shared" si="0"/>
        <v>3700</v>
      </c>
      <c r="I53" s="61">
        <f t="shared" si="0"/>
        <v>3820</v>
      </c>
      <c r="J53" s="61">
        <f t="shared" si="1"/>
        <v>5550</v>
      </c>
      <c r="K53" s="64">
        <f t="shared" si="1"/>
        <v>5730</v>
      </c>
    </row>
    <row r="54" spans="2:11" ht="15.75" customHeight="1">
      <c r="B54" s="59">
        <v>36</v>
      </c>
      <c r="C54" s="60">
        <v>1930</v>
      </c>
      <c r="D54" s="61">
        <v>1990</v>
      </c>
      <c r="E54" s="61">
        <v>1930</v>
      </c>
      <c r="F54" s="61">
        <v>1990</v>
      </c>
      <c r="G54" s="78" t="s">
        <v>15</v>
      </c>
      <c r="H54" s="63">
        <f t="shared" si="0"/>
        <v>3860</v>
      </c>
      <c r="I54" s="61">
        <f t="shared" si="0"/>
        <v>3980</v>
      </c>
      <c r="J54" s="61">
        <f t="shared" si="1"/>
        <v>5790</v>
      </c>
      <c r="K54" s="64">
        <f t="shared" si="1"/>
        <v>5970</v>
      </c>
    </row>
    <row r="55" spans="2:11" ht="54.75" customHeight="1">
      <c r="B55" s="59">
        <v>37</v>
      </c>
      <c r="C55" s="60">
        <v>1910</v>
      </c>
      <c r="D55" s="61">
        <v>1930</v>
      </c>
      <c r="E55" s="61">
        <v>1910</v>
      </c>
      <c r="F55" s="61">
        <v>1930</v>
      </c>
      <c r="G55" s="78" t="s">
        <v>15</v>
      </c>
      <c r="H55" s="63">
        <f t="shared" si="0"/>
        <v>3820</v>
      </c>
      <c r="I55" s="61">
        <f t="shared" si="0"/>
        <v>3860</v>
      </c>
      <c r="J55" s="61">
        <f t="shared" si="1"/>
        <v>5730</v>
      </c>
      <c r="K55" s="64">
        <f t="shared" si="1"/>
        <v>5790</v>
      </c>
    </row>
    <row r="56" spans="2:11">
      <c r="B56" s="59">
        <v>38</v>
      </c>
      <c r="C56" s="60">
        <v>2570</v>
      </c>
      <c r="D56" s="61">
        <v>2620</v>
      </c>
      <c r="E56" s="61">
        <v>2570</v>
      </c>
      <c r="F56" s="61">
        <v>2620</v>
      </c>
      <c r="G56" s="78" t="s">
        <v>15</v>
      </c>
      <c r="H56" s="63">
        <f t="shared" si="0"/>
        <v>5140</v>
      </c>
      <c r="I56" s="61">
        <f t="shared" si="0"/>
        <v>5240</v>
      </c>
      <c r="J56" s="61">
        <f t="shared" si="1"/>
        <v>7710</v>
      </c>
      <c r="K56" s="64">
        <f t="shared" si="1"/>
        <v>7860</v>
      </c>
    </row>
    <row r="57" spans="2:11">
      <c r="B57" s="59">
        <v>39</v>
      </c>
      <c r="C57" s="60">
        <v>1880</v>
      </c>
      <c r="D57" s="61">
        <v>1920</v>
      </c>
      <c r="E57" s="61">
        <v>1880</v>
      </c>
      <c r="F57" s="61">
        <v>1920</v>
      </c>
      <c r="G57" s="78" t="s">
        <v>15</v>
      </c>
      <c r="H57" s="63">
        <f t="shared" si="0"/>
        <v>3760</v>
      </c>
      <c r="I57" s="61">
        <f t="shared" si="0"/>
        <v>3840</v>
      </c>
      <c r="J57" s="61">
        <f t="shared" si="1"/>
        <v>5640</v>
      </c>
      <c r="K57" s="64">
        <f t="shared" si="1"/>
        <v>5760</v>
      </c>
    </row>
    <row r="58" spans="2:11">
      <c r="B58" s="59">
        <v>40</v>
      </c>
      <c r="C58" s="60">
        <v>2300</v>
      </c>
      <c r="D58" s="61">
        <v>2400</v>
      </c>
      <c r="E58" s="61">
        <v>2300</v>
      </c>
      <c r="F58" s="61">
        <v>2400</v>
      </c>
      <c r="G58" s="78" t="s">
        <v>15</v>
      </c>
      <c r="H58" s="63">
        <f t="shared" si="0"/>
        <v>4600</v>
      </c>
      <c r="I58" s="61">
        <f t="shared" si="0"/>
        <v>4800</v>
      </c>
      <c r="J58" s="61">
        <f t="shared" si="1"/>
        <v>6900</v>
      </c>
      <c r="K58" s="64">
        <f t="shared" si="1"/>
        <v>7200</v>
      </c>
    </row>
    <row r="59" spans="2:11">
      <c r="B59" s="59">
        <v>41</v>
      </c>
      <c r="C59" s="60">
        <v>2496</v>
      </c>
      <c r="D59" s="61">
        <v>2690</v>
      </c>
      <c r="E59" s="61">
        <v>2496</v>
      </c>
      <c r="F59" s="61">
        <v>2690</v>
      </c>
      <c r="G59" s="78" t="s">
        <v>15</v>
      </c>
      <c r="H59" s="63">
        <f t="shared" si="0"/>
        <v>4992</v>
      </c>
      <c r="I59" s="61">
        <f t="shared" si="0"/>
        <v>5380</v>
      </c>
      <c r="J59" s="61">
        <f t="shared" si="1"/>
        <v>7488</v>
      </c>
      <c r="K59" s="64">
        <f t="shared" si="1"/>
        <v>8070</v>
      </c>
    </row>
    <row r="60" spans="2:11">
      <c r="B60" s="59">
        <v>42</v>
      </c>
      <c r="C60" s="60">
        <v>3400</v>
      </c>
      <c r="D60" s="61">
        <v>3600</v>
      </c>
      <c r="E60" s="61">
        <v>3400</v>
      </c>
      <c r="F60" s="61">
        <v>3600</v>
      </c>
      <c r="G60" s="78" t="s">
        <v>15</v>
      </c>
      <c r="H60" s="63">
        <f t="shared" si="0"/>
        <v>6800</v>
      </c>
      <c r="I60" s="61">
        <f t="shared" si="0"/>
        <v>7200</v>
      </c>
      <c r="J60" s="61">
        <f t="shared" si="1"/>
        <v>10200</v>
      </c>
      <c r="K60" s="64">
        <f t="shared" si="1"/>
        <v>10800</v>
      </c>
    </row>
    <row r="61" spans="2:11">
      <c r="B61" s="59">
        <v>43</v>
      </c>
      <c r="C61" s="60">
        <v>3600</v>
      </c>
      <c r="D61" s="61">
        <v>3800</v>
      </c>
      <c r="E61" s="61">
        <v>3600</v>
      </c>
      <c r="F61" s="61">
        <v>3800</v>
      </c>
      <c r="G61" s="78" t="s">
        <v>15</v>
      </c>
      <c r="H61" s="63">
        <f t="shared" si="0"/>
        <v>7200</v>
      </c>
      <c r="I61" s="61">
        <f t="shared" si="0"/>
        <v>7600</v>
      </c>
      <c r="J61" s="61">
        <f t="shared" si="1"/>
        <v>10800</v>
      </c>
      <c r="K61" s="64">
        <f t="shared" si="1"/>
        <v>11400</v>
      </c>
    </row>
    <row r="62" spans="2:11">
      <c r="B62" s="79">
        <v>44</v>
      </c>
      <c r="C62" s="80">
        <v>703</v>
      </c>
      <c r="D62" s="81">
        <v>803</v>
      </c>
      <c r="E62" s="81">
        <v>703</v>
      </c>
      <c r="F62" s="81">
        <v>803</v>
      </c>
      <c r="G62" s="82" t="s">
        <v>15</v>
      </c>
      <c r="H62" s="83">
        <v>1406</v>
      </c>
      <c r="I62" s="81">
        <v>1606</v>
      </c>
      <c r="J62" s="81">
        <v>2109</v>
      </c>
      <c r="K62" s="84">
        <v>2409</v>
      </c>
    </row>
    <row r="63" spans="2:11">
      <c r="B63" s="79">
        <v>45</v>
      </c>
      <c r="C63" s="80">
        <v>1447</v>
      </c>
      <c r="D63" s="81">
        <v>1467</v>
      </c>
      <c r="E63" s="81">
        <v>1447</v>
      </c>
      <c r="F63" s="81">
        <v>1467</v>
      </c>
      <c r="G63" s="82" t="s">
        <v>15</v>
      </c>
      <c r="H63" s="83">
        <v>2894</v>
      </c>
      <c r="I63" s="81">
        <v>2934</v>
      </c>
      <c r="J63" s="81">
        <v>4341</v>
      </c>
      <c r="K63" s="84">
        <v>4401</v>
      </c>
    </row>
    <row r="64" spans="2:11">
      <c r="B64" s="79">
        <v>46</v>
      </c>
      <c r="C64" s="80">
        <v>5150</v>
      </c>
      <c r="D64" s="81">
        <v>5925</v>
      </c>
      <c r="E64" s="81">
        <v>5150</v>
      </c>
      <c r="F64" s="81">
        <v>5925</v>
      </c>
      <c r="G64" s="82" t="s">
        <v>15</v>
      </c>
      <c r="H64" s="83">
        <v>10300</v>
      </c>
      <c r="I64" s="81">
        <v>11850</v>
      </c>
      <c r="J64" s="81">
        <v>15450</v>
      </c>
      <c r="K64" s="84">
        <v>17775</v>
      </c>
    </row>
    <row r="65" spans="2:11">
      <c r="B65" s="79">
        <v>47</v>
      </c>
      <c r="C65" s="80">
        <v>5855</v>
      </c>
      <c r="D65" s="81">
        <v>5925</v>
      </c>
      <c r="E65" s="81">
        <v>5855</v>
      </c>
      <c r="F65" s="81">
        <v>5925</v>
      </c>
      <c r="G65" s="82" t="s">
        <v>15</v>
      </c>
      <c r="H65" s="83">
        <v>11710</v>
      </c>
      <c r="I65" s="81">
        <v>11850</v>
      </c>
      <c r="J65" s="81">
        <v>17565</v>
      </c>
      <c r="K65" s="84">
        <v>17775</v>
      </c>
    </row>
    <row r="66" spans="2:11" ht="16.5" thickBot="1">
      <c r="B66" s="79">
        <v>48</v>
      </c>
      <c r="C66" s="85">
        <v>3550</v>
      </c>
      <c r="D66" s="86">
        <v>3700</v>
      </c>
      <c r="E66" s="86">
        <v>3550</v>
      </c>
      <c r="F66" s="86">
        <v>3700</v>
      </c>
      <c r="G66" s="87" t="s">
        <v>15</v>
      </c>
      <c r="H66" s="83">
        <v>7100</v>
      </c>
      <c r="I66" s="81">
        <v>7400</v>
      </c>
      <c r="J66" s="81">
        <v>10650</v>
      </c>
      <c r="K66" s="84">
        <v>11100</v>
      </c>
    </row>
    <row r="67" spans="2:11">
      <c r="B67" s="357" t="s">
        <v>16</v>
      </c>
      <c r="C67" s="358"/>
      <c r="D67" s="358"/>
      <c r="E67" s="358"/>
      <c r="F67" s="358"/>
      <c r="G67" s="358"/>
      <c r="H67" s="358"/>
      <c r="I67" s="358"/>
      <c r="J67" s="358"/>
      <c r="K67" s="359"/>
    </row>
    <row r="68" spans="2:11" ht="16.5" thickBot="1">
      <c r="B68" s="360" t="s">
        <v>17</v>
      </c>
      <c r="C68" s="361"/>
      <c r="D68" s="361"/>
      <c r="E68" s="361"/>
      <c r="F68" s="361"/>
      <c r="G68" s="361"/>
      <c r="H68" s="361"/>
      <c r="I68" s="361"/>
      <c r="J68" s="361"/>
      <c r="K68" s="362"/>
    </row>
  </sheetData>
  <mergeCells count="25">
    <mergeCell ref="V7:W8"/>
    <mergeCell ref="O9:P9"/>
    <mergeCell ref="Q9:R9"/>
    <mergeCell ref="T9:U9"/>
    <mergeCell ref="V9:W9"/>
    <mergeCell ref="O7:P8"/>
    <mergeCell ref="Q7:R8"/>
    <mergeCell ref="S7:S10"/>
    <mergeCell ref="T7:U8"/>
    <mergeCell ref="B67:K67"/>
    <mergeCell ref="B68:K68"/>
    <mergeCell ref="N9:N10"/>
    <mergeCell ref="M7:N8"/>
    <mergeCell ref="M5:O6"/>
    <mergeCell ref="B5:D6"/>
    <mergeCell ref="B7:B8"/>
    <mergeCell ref="C7:D8"/>
    <mergeCell ref="E7:F8"/>
    <mergeCell ref="G7:G10"/>
    <mergeCell ref="H7:I8"/>
    <mergeCell ref="J7:K8"/>
    <mergeCell ref="C9:D9"/>
    <mergeCell ref="E9:F9"/>
    <mergeCell ref="H9:I9"/>
    <mergeCell ref="J9:K9"/>
  </mergeCells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Calculation</vt:lpstr>
      <vt:lpstr>Band_Table</vt:lpstr>
      <vt:lpstr>Band_Table_LTE_and_CDMA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Jay_Chang@htc.com</dc:creator>
  <cp:lastModifiedBy>Jay Chang(張培哲)</cp:lastModifiedBy>
  <dcterms:created xsi:type="dcterms:W3CDTF">2015-12-05T16:29:31Z</dcterms:created>
  <dcterms:modified xsi:type="dcterms:W3CDTF">2017-11-02T07:21:52Z</dcterms:modified>
</cp:coreProperties>
</file>